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https://netorg573064.sharepoint.com/sites/SalesOperations-SOWs/Shared Documents/Contract - Drafts/IEEE SOW30 IT Change Management/"/>
    </mc:Choice>
  </mc:AlternateContent>
  <xr:revisionPtr revIDLastSave="1" documentId="13_ncr:1_{E01C5AE9-394B-4E9F-A1B5-ED11D3295FFE}" xr6:coauthVersionLast="47" xr6:coauthVersionMax="47" xr10:uidLastSave="{117C22A8-EE4A-4FAE-A61B-16A9954BDDE2}"/>
  <bookViews>
    <workbookView xWindow="-120" yWindow="-120" windowWidth="29040" windowHeight="15720" tabRatio="512" firstSheet="1" activeTab="1" xr2:uid="{81FAF88E-7E84-4733-AF38-B47A94026E52}"/>
  </bookViews>
  <sheets>
    <sheet name="Summary" sheetId="16" r:id="rId1"/>
    <sheet name="Pricing Details" sheetId="1" r:id="rId2"/>
    <sheet name="Formulas" sheetId="4" r:id="rId3"/>
    <sheet name="Resource List" sheetId="15" r:id="rId4"/>
    <sheet name="Timeline 36 Weeks" sheetId="14" r:id="rId5"/>
    <sheet name="Deliverables " sheetId="12" r:id="rId6"/>
    <sheet name="Complexity Considerations" sheetId="13" r:id="rId7"/>
    <sheet name="INSTRUCTIONS" sheetId="6" r:id="rId8"/>
    <sheet name="Picklist" sheetId="3" state="veryHidden" r:id="rId9"/>
    <sheet name="Update Resource Instructions" sheetId="10" state="veryHidden" r:id="rId10"/>
    <sheet name="Certinia Resource List" sheetId="8" state="veryHidden" r:id="rId11"/>
    <sheet name="Customer Capability Service" sheetId="9" state="veryHidden" r:id="rId12"/>
  </sheets>
  <definedNames>
    <definedName name="_xlnm._FilterDatabase" localSheetId="10" hidden="1">'Certinia Resource List'!$M$2:$P$2</definedName>
    <definedName name="_xlnm._FilterDatabase" localSheetId="11" hidden="1">'Customer Capability Service'!$A$1:$B$228</definedName>
    <definedName name="_xlnm._FilterDatabase" localSheetId="8" hidden="1">Picklist!$A$1:$S$256</definedName>
    <definedName name="_xlnm._FilterDatabase" localSheetId="3" hidden="1">'Resource List'!$A$1:$C$277</definedName>
    <definedName name="Architecture_Practice_USA" localSheetId="6">#REF!</definedName>
    <definedName name="Architecture_Practice_USA" localSheetId="5">#REF!</definedName>
    <definedName name="Architecture_Practice_USA" localSheetId="4">#REF!</definedName>
    <definedName name="Architecture_Practice_USA">Picklist!#REF!</definedName>
    <definedName name="Cloud_Practice_India" localSheetId="6">#REF!</definedName>
    <definedName name="Cloud_Practice_India" localSheetId="5">#REF!</definedName>
    <definedName name="Cloud_Practice_India" localSheetId="4">#REF!</definedName>
    <definedName name="Cloud_Practice_India">Picklist!#REF!</definedName>
    <definedName name="Cloud_Practice_USA" localSheetId="6">#REF!</definedName>
    <definedName name="Cloud_Practice_USA" localSheetId="5">#REF!</definedName>
    <definedName name="Cloud_Practice_USA" localSheetId="4">#REF!</definedName>
    <definedName name="Cloud_Practice_USA">Picklist!#REF!</definedName>
    <definedName name="CPM_Practice_India" localSheetId="6">#REF!</definedName>
    <definedName name="CPM_Practice_India" localSheetId="5">#REF!</definedName>
    <definedName name="CPM_Practice_India" localSheetId="4">#REF!</definedName>
    <definedName name="CPM_Practice_India">Picklist!#REF!</definedName>
    <definedName name="CPM_Practice_USA" localSheetId="6">#REF!</definedName>
    <definedName name="CPM_Practice_USA" localSheetId="5">#REF!</definedName>
    <definedName name="CPM_Practice_USA" localSheetId="4">#REF!</definedName>
    <definedName name="CPM_Practice_USA">Picklist!#REF!</definedName>
    <definedName name="EPM_Practice_India" localSheetId="6">#REF!</definedName>
    <definedName name="EPM_Practice_India" localSheetId="5">#REF!</definedName>
    <definedName name="EPM_Practice_India" localSheetId="4">#REF!</definedName>
    <definedName name="EPM_Practice_India">Picklist!#REF!</definedName>
    <definedName name="EPM_Practice_USA" localSheetId="6">#REF!</definedName>
    <definedName name="EPM_Practice_USA" localSheetId="5">#REF!</definedName>
    <definedName name="EPM_Practice_USA" localSheetId="4">#REF!</definedName>
    <definedName name="EPM_Practice_USA">Picklist!#REF!</definedName>
    <definedName name="ERP_Practice_India" localSheetId="6">#REF!</definedName>
    <definedName name="ERP_Practice_India" localSheetId="5">#REF!</definedName>
    <definedName name="ERP_Practice_India" localSheetId="4">#REF!</definedName>
    <definedName name="ERP_Practice_India">Picklist!#REF!</definedName>
    <definedName name="ERP_Practice_USA" localSheetId="6">#REF!</definedName>
    <definedName name="ERP_Practice_USA" localSheetId="5">#REF!</definedName>
    <definedName name="ERP_Practice_USA" localSheetId="4">#REF!</definedName>
    <definedName name="ERP_Practice_USA">Picklist!#REF!</definedName>
    <definedName name="Functional_Practice_USA" localSheetId="6">#REF!</definedName>
    <definedName name="Functional_Practice_USA" localSheetId="5">#REF!</definedName>
    <definedName name="Functional_Practice_USA" localSheetId="4">#REF!</definedName>
    <definedName name="Functional_Practice_USA">Picklist!#REF!</definedName>
    <definedName name="PS_Practice_USA" localSheetId="6">#REF!</definedName>
    <definedName name="PS_Practice_USA" localSheetId="5">#REF!</definedName>
    <definedName name="PS_Practice_USA" localSheetId="4">#REF!</definedName>
    <definedName name="PS_Practice_USA">Picklist!#REF!</definedName>
    <definedName name="TS_Practice_India" localSheetId="6">#REF!</definedName>
    <definedName name="TS_Practice_India" localSheetId="5">#REF!</definedName>
    <definedName name="TS_Practice_India" localSheetId="4">#REF!</definedName>
    <definedName name="TS_Practice_India">Picklist!#REF!</definedName>
    <definedName name="TS_Practice_USA" localSheetId="6">#REF!</definedName>
    <definedName name="TS_Practice_USA" localSheetId="5">#REF!</definedName>
    <definedName name="TS_Practice_USA" localSheetId="4">#REF!</definedName>
    <definedName name="TS_Practice_USA">Picklist!#REF!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12" i="1" l="1"/>
  <c r="AW13" i="1"/>
  <c r="AW14" i="1"/>
  <c r="AW15" i="1"/>
  <c r="AW16" i="1"/>
  <c r="AW17" i="1"/>
  <c r="AW18" i="1"/>
  <c r="AW19" i="1"/>
  <c r="I252" i="3"/>
  <c r="I253" i="3"/>
  <c r="I254" i="3"/>
  <c r="I255" i="3"/>
  <c r="I256" i="3"/>
  <c r="I227" i="3"/>
  <c r="I228" i="3"/>
  <c r="I229" i="3"/>
  <c r="I230" i="3"/>
  <c r="I231" i="3"/>
  <c r="I232" i="3"/>
  <c r="I233" i="3"/>
  <c r="I234" i="3"/>
  <c r="I235" i="3"/>
  <c r="I236" i="3"/>
  <c r="I237" i="3"/>
  <c r="I238" i="3"/>
  <c r="I239" i="3"/>
  <c r="I240" i="3"/>
  <c r="I241" i="3"/>
  <c r="I242" i="3"/>
  <c r="I243" i="3"/>
  <c r="I244" i="3"/>
  <c r="I245" i="3"/>
  <c r="I246" i="3"/>
  <c r="I180" i="3"/>
  <c r="I181" i="3"/>
  <c r="I182" i="3"/>
  <c r="I183" i="3"/>
  <c r="I184" i="3"/>
  <c r="I185" i="3"/>
  <c r="I186" i="3"/>
  <c r="I187" i="3"/>
  <c r="I188" i="3"/>
  <c r="I189" i="3"/>
  <c r="I190" i="3"/>
  <c r="I191" i="3"/>
  <c r="I192" i="3"/>
  <c r="I193" i="3"/>
  <c r="I194" i="3"/>
  <c r="I195" i="3"/>
  <c r="I175" i="3"/>
  <c r="I176" i="3"/>
  <c r="I177" i="3"/>
  <c r="I178" i="3"/>
  <c r="I179" i="3"/>
  <c r="I167" i="3"/>
  <c r="I168" i="3"/>
  <c r="I169" i="3"/>
  <c r="I170" i="3"/>
  <c r="I171" i="3"/>
  <c r="I172" i="3"/>
  <c r="I173" i="3"/>
  <c r="I174" i="3"/>
  <c r="I159" i="3"/>
  <c r="I160" i="3"/>
  <c r="I161" i="3"/>
  <c r="I162" i="3"/>
  <c r="I163" i="3"/>
  <c r="I164" i="3"/>
  <c r="I165" i="3"/>
  <c r="I166" i="3"/>
  <c r="O16" i="3" l="1"/>
  <c r="H166" i="8" l="1"/>
  <c r="H167" i="8"/>
  <c r="H168" i="8"/>
  <c r="H169" i="8"/>
  <c r="H170" i="8"/>
  <c r="H171" i="8"/>
  <c r="H172" i="8"/>
  <c r="H173" i="8"/>
  <c r="H174" i="8"/>
  <c r="H175" i="8"/>
  <c r="H176" i="8"/>
  <c r="H177" i="8"/>
  <c r="H178" i="8"/>
  <c r="H179" i="8"/>
  <c r="H180" i="8"/>
  <c r="H181" i="8"/>
  <c r="H182" i="8"/>
  <c r="H183" i="8"/>
  <c r="H184" i="8"/>
  <c r="H185" i="8"/>
  <c r="H186" i="8"/>
  <c r="H187" i="8"/>
  <c r="H188" i="8"/>
  <c r="H189" i="8"/>
  <c r="H190" i="8"/>
  <c r="H191" i="8"/>
  <c r="H192" i="8"/>
  <c r="H193" i="8"/>
  <c r="H194" i="8"/>
  <c r="H195" i="8"/>
  <c r="H196" i="8"/>
  <c r="H197" i="8"/>
  <c r="H198" i="8"/>
  <c r="H199" i="8"/>
  <c r="H200" i="8"/>
  <c r="H201" i="8"/>
  <c r="H202" i="8"/>
  <c r="H203" i="8"/>
  <c r="H204" i="8"/>
  <c r="H205" i="8"/>
  <c r="H206" i="8"/>
  <c r="H207" i="8"/>
  <c r="H208" i="8"/>
  <c r="H209" i="8"/>
  <c r="H210" i="8"/>
  <c r="H211" i="8"/>
  <c r="H212" i="8"/>
  <c r="H213" i="8"/>
  <c r="H214" i="8"/>
  <c r="H215" i="8"/>
  <c r="H216" i="8"/>
  <c r="H217" i="8"/>
  <c r="H218" i="8"/>
  <c r="H219" i="8"/>
  <c r="H220" i="8"/>
  <c r="H221" i="8"/>
  <c r="H222" i="8"/>
  <c r="H223" i="8"/>
  <c r="H224" i="8"/>
  <c r="H225" i="8"/>
  <c r="H226" i="8"/>
  <c r="H227" i="8"/>
  <c r="H228" i="8"/>
  <c r="H229" i="8"/>
  <c r="H230" i="8"/>
  <c r="H231" i="8"/>
  <c r="H232" i="8"/>
  <c r="H233" i="8"/>
  <c r="H234" i="8"/>
  <c r="H235" i="8"/>
  <c r="H236" i="8"/>
  <c r="H237" i="8"/>
  <c r="H238" i="8"/>
  <c r="H239" i="8"/>
  <c r="H240" i="8"/>
  <c r="H241" i="8"/>
  <c r="H242" i="8"/>
  <c r="H243" i="8"/>
  <c r="H244" i="8"/>
  <c r="H245" i="8"/>
  <c r="H246" i="8"/>
  <c r="H247" i="8"/>
  <c r="H248" i="8"/>
  <c r="H249" i="8"/>
  <c r="H250" i="8"/>
  <c r="H251" i="8"/>
  <c r="H252" i="8"/>
  <c r="H253" i="8"/>
  <c r="H254" i="8"/>
  <c r="H255" i="8"/>
  <c r="H256" i="8"/>
  <c r="H257" i="8"/>
  <c r="H258" i="8"/>
  <c r="H259" i="8"/>
  <c r="H260" i="8"/>
  <c r="H261" i="8"/>
  <c r="H262" i="8"/>
  <c r="H263" i="8"/>
  <c r="H264" i="8"/>
  <c r="H265" i="8"/>
  <c r="H266" i="8"/>
  <c r="H267" i="8"/>
  <c r="H268" i="8"/>
  <c r="H269" i="8"/>
  <c r="H270" i="8"/>
  <c r="H271" i="8"/>
  <c r="H272" i="8"/>
  <c r="H273" i="8"/>
  <c r="H274" i="8"/>
  <c r="H275" i="8"/>
  <c r="H276" i="8"/>
  <c r="H277" i="8"/>
  <c r="H278" i="8"/>
  <c r="H3" i="8"/>
  <c r="H4" i="8"/>
  <c r="H5" i="8"/>
  <c r="H6" i="8"/>
  <c r="H7" i="8"/>
  <c r="H8" i="8"/>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56" i="8"/>
  <c r="H57" i="8"/>
  <c r="H58" i="8"/>
  <c r="H59" i="8"/>
  <c r="H60" i="8"/>
  <c r="H61" i="8"/>
  <c r="H62" i="8"/>
  <c r="H63" i="8"/>
  <c r="H64" i="8"/>
  <c r="H65" i="8"/>
  <c r="H66" i="8"/>
  <c r="H67" i="8"/>
  <c r="H68" i="8"/>
  <c r="H69" i="8"/>
  <c r="H70" i="8"/>
  <c r="H71" i="8"/>
  <c r="H72" i="8"/>
  <c r="H73" i="8"/>
  <c r="H74" i="8"/>
  <c r="H75" i="8"/>
  <c r="H76" i="8"/>
  <c r="H77" i="8"/>
  <c r="H78" i="8"/>
  <c r="H79" i="8"/>
  <c r="H80" i="8"/>
  <c r="H81" i="8"/>
  <c r="H82" i="8"/>
  <c r="H83" i="8"/>
  <c r="H84" i="8"/>
  <c r="H85" i="8"/>
  <c r="H86" i="8"/>
  <c r="H87" i="8"/>
  <c r="H88" i="8"/>
  <c r="H89" i="8"/>
  <c r="H90" i="8"/>
  <c r="H91" i="8"/>
  <c r="H92" i="8"/>
  <c r="H93" i="8"/>
  <c r="H94" i="8"/>
  <c r="H95" i="8"/>
  <c r="H96" i="8"/>
  <c r="H97" i="8"/>
  <c r="H98" i="8"/>
  <c r="H99" i="8"/>
  <c r="H100" i="8"/>
  <c r="H101" i="8"/>
  <c r="H102" i="8"/>
  <c r="H103" i="8"/>
  <c r="H104" i="8"/>
  <c r="H105" i="8"/>
  <c r="H106" i="8"/>
  <c r="H107" i="8"/>
  <c r="H108" i="8"/>
  <c r="H109" i="8"/>
  <c r="H110" i="8"/>
  <c r="H111" i="8"/>
  <c r="H112" i="8"/>
  <c r="H113" i="8"/>
  <c r="H114" i="8"/>
  <c r="H115" i="8"/>
  <c r="H116" i="8"/>
  <c r="H117" i="8"/>
  <c r="H118" i="8"/>
  <c r="H119" i="8"/>
  <c r="H120" i="8"/>
  <c r="H121" i="8"/>
  <c r="H122" i="8"/>
  <c r="H123" i="8"/>
  <c r="H124" i="8"/>
  <c r="H125" i="8"/>
  <c r="H126" i="8"/>
  <c r="H127" i="8"/>
  <c r="H128" i="8"/>
  <c r="H129" i="8"/>
  <c r="H130" i="8"/>
  <c r="H131" i="8"/>
  <c r="H132" i="8"/>
  <c r="H133" i="8"/>
  <c r="H134" i="8"/>
  <c r="H135" i="8"/>
  <c r="H136" i="8"/>
  <c r="H137" i="8"/>
  <c r="H138" i="8"/>
  <c r="H139" i="8"/>
  <c r="H140" i="8"/>
  <c r="H141" i="8"/>
  <c r="H142" i="8"/>
  <c r="H143" i="8"/>
  <c r="H144" i="8"/>
  <c r="H145" i="8"/>
  <c r="H146" i="8"/>
  <c r="H147" i="8"/>
  <c r="H148" i="8"/>
  <c r="H149" i="8"/>
  <c r="H150" i="8"/>
  <c r="H151" i="8"/>
  <c r="H152" i="8"/>
  <c r="H153" i="8"/>
  <c r="H154" i="8"/>
  <c r="H155" i="8"/>
  <c r="H156" i="8"/>
  <c r="H158" i="8"/>
  <c r="H159" i="8"/>
  <c r="H160" i="8"/>
  <c r="H161" i="8"/>
  <c r="H162" i="8"/>
  <c r="H163" i="8"/>
  <c r="H164" i="8"/>
  <c r="H165" i="8"/>
  <c r="H157" i="8"/>
  <c r="O254" i="3"/>
  <c r="O7" i="3"/>
  <c r="O8" i="3"/>
  <c r="O72" i="3"/>
  <c r="O178" i="3"/>
  <c r="O154" i="3"/>
  <c r="O63" i="3"/>
  <c r="O59" i="3"/>
  <c r="O64" i="3"/>
  <c r="O56" i="3"/>
  <c r="O54" i="3"/>
  <c r="O27" i="3"/>
  <c r="O34" i="3"/>
  <c r="O23" i="3"/>
  <c r="O10" i="3"/>
  <c r="O93" i="3"/>
  <c r="W3" i="8" a="1"/>
  <c r="W3" i="8" s="1"/>
  <c r="I514" i="3" l="1"/>
  <c r="I515" i="3"/>
  <c r="I516" i="3"/>
  <c r="I517" i="3"/>
  <c r="I518" i="3"/>
  <c r="I519" i="3"/>
  <c r="I520" i="3"/>
  <c r="I521" i="3"/>
  <c r="I522" i="3"/>
  <c r="I523" i="3"/>
  <c r="I524" i="3"/>
  <c r="I525" i="3"/>
  <c r="I526" i="3"/>
  <c r="I527" i="3"/>
  <c r="I528" i="3"/>
  <c r="I529" i="3"/>
  <c r="I530" i="3"/>
  <c r="I531" i="3"/>
  <c r="I532" i="3"/>
  <c r="I533" i="3"/>
  <c r="I534" i="3"/>
  <c r="I535" i="3"/>
  <c r="I536" i="3"/>
  <c r="I537" i="3"/>
  <c r="I538" i="3"/>
  <c r="J269" i="8"/>
  <c r="K269" i="8" s="1"/>
  <c r="J271" i="8"/>
  <c r="K271" i="8" s="1"/>
  <c r="J279" i="8"/>
  <c r="M279" i="8" s="1"/>
  <c r="N258" i="8"/>
  <c r="O258" i="8"/>
  <c r="P258" i="8" a="1"/>
  <c r="P258" i="8" s="1"/>
  <c r="N259" i="8"/>
  <c r="O259" i="8"/>
  <c r="P259" i="8" a="1"/>
  <c r="P259" i="8" s="1"/>
  <c r="N260" i="8"/>
  <c r="O260" i="8"/>
  <c r="P260" i="8" a="1"/>
  <c r="P260" i="8" s="1"/>
  <c r="N261" i="8"/>
  <c r="O261" i="8"/>
  <c r="P261" i="8" a="1"/>
  <c r="P261" i="8" s="1"/>
  <c r="N262" i="8"/>
  <c r="O262" i="8"/>
  <c r="P262" i="8" a="1"/>
  <c r="P262" i="8" s="1"/>
  <c r="N263" i="8"/>
  <c r="O263" i="8"/>
  <c r="P263" i="8" a="1"/>
  <c r="P263" i="8" s="1"/>
  <c r="N264" i="8"/>
  <c r="O264" i="8"/>
  <c r="P264" i="8" a="1"/>
  <c r="P264" i="8" s="1"/>
  <c r="N265" i="8"/>
  <c r="O265" i="8"/>
  <c r="P265" i="8" a="1"/>
  <c r="P265" i="8" s="1"/>
  <c r="N266" i="8"/>
  <c r="O266" i="8"/>
  <c r="P266" i="8" a="1"/>
  <c r="P266" i="8" s="1"/>
  <c r="N267" i="8"/>
  <c r="O267" i="8"/>
  <c r="P267" i="8" a="1"/>
  <c r="P267" i="8"/>
  <c r="N268" i="8"/>
  <c r="O268" i="8"/>
  <c r="P268" i="8" a="1"/>
  <c r="P268" i="8" s="1"/>
  <c r="N269" i="8"/>
  <c r="O269" i="8"/>
  <c r="P269" i="8" a="1"/>
  <c r="P269" i="8"/>
  <c r="N270" i="8"/>
  <c r="O270" i="8"/>
  <c r="P270" i="8" a="1"/>
  <c r="P270" i="8" s="1"/>
  <c r="N271" i="8"/>
  <c r="O271" i="8"/>
  <c r="P271" i="8" a="1"/>
  <c r="P271" i="8"/>
  <c r="N272" i="8"/>
  <c r="O272" i="8"/>
  <c r="P272" i="8" a="1"/>
  <c r="P272" i="8" s="1"/>
  <c r="N273" i="8"/>
  <c r="O273" i="8"/>
  <c r="P273" i="8" a="1"/>
  <c r="P273" i="8" s="1"/>
  <c r="N274" i="8"/>
  <c r="O274" i="8"/>
  <c r="P274" i="8" a="1"/>
  <c r="P274" i="8" s="1"/>
  <c r="N275" i="8"/>
  <c r="O275" i="8"/>
  <c r="P275" i="8" a="1"/>
  <c r="P275" i="8" s="1"/>
  <c r="N276" i="8"/>
  <c r="O276" i="8"/>
  <c r="P276" i="8" a="1"/>
  <c r="P276" i="8" s="1"/>
  <c r="N277" i="8"/>
  <c r="O277" i="8"/>
  <c r="P277" i="8" a="1"/>
  <c r="P277" i="8" s="1"/>
  <c r="N278" i="8"/>
  <c r="O278" i="8"/>
  <c r="P278" i="8" a="1"/>
  <c r="P278" i="8" s="1"/>
  <c r="J268" i="8"/>
  <c r="M268" i="8" s="1"/>
  <c r="J270" i="8"/>
  <c r="M270" i="8" s="1"/>
  <c r="J272" i="8"/>
  <c r="M272" i="8" s="1"/>
  <c r="J273" i="8"/>
  <c r="K273" i="8" s="1"/>
  <c r="J274" i="8"/>
  <c r="K274" i="8" s="1"/>
  <c r="J275" i="8"/>
  <c r="K275" i="8" s="1"/>
  <c r="J276" i="8"/>
  <c r="M276" i="8" s="1"/>
  <c r="J277" i="8"/>
  <c r="K277" i="8" s="1"/>
  <c r="J278" i="8"/>
  <c r="M278" i="8" s="1"/>
  <c r="K272" i="8" l="1"/>
  <c r="K268" i="8"/>
  <c r="M274" i="8"/>
  <c r="K276" i="8"/>
  <c r="K278" i="8"/>
  <c r="M275" i="8"/>
  <c r="M277" i="8"/>
  <c r="K270" i="8"/>
  <c r="M269" i="8"/>
  <c r="M271" i="8"/>
  <c r="K279" i="8"/>
  <c r="M273" i="8"/>
  <c r="O13" i="3" l="1"/>
  <c r="O66" i="3" l="1"/>
  <c r="O67" i="3"/>
  <c r="O180" i="3"/>
  <c r="O181" i="3"/>
  <c r="O182" i="3"/>
  <c r="O183" i="3"/>
  <c r="O184" i="3"/>
  <c r="O185" i="3"/>
  <c r="O186" i="3"/>
  <c r="O187" i="3"/>
  <c r="O169" i="3"/>
  <c r="O170" i="3"/>
  <c r="O171" i="3"/>
  <c r="O172" i="3"/>
  <c r="O173" i="3"/>
  <c r="O174" i="3"/>
  <c r="O175" i="3"/>
  <c r="O176" i="3"/>
  <c r="O167" i="3"/>
  <c r="O168" i="3"/>
  <c r="O159" i="3"/>
  <c r="O160" i="3"/>
  <c r="O161" i="3"/>
  <c r="O162" i="3"/>
  <c r="O163" i="3"/>
  <c r="O164" i="3"/>
  <c r="O165" i="3"/>
  <c r="O166" i="3"/>
  <c r="O152" i="3"/>
  <c r="O144" i="3"/>
  <c r="O145" i="3"/>
  <c r="O146" i="3"/>
  <c r="O147" i="3"/>
  <c r="O148" i="3"/>
  <c r="O149" i="3"/>
  <c r="O150" i="3"/>
  <c r="O151" i="3"/>
  <c r="O249" i="3"/>
  <c r="O245" i="3"/>
  <c r="O273" i="3"/>
  <c r="O270" i="3"/>
  <c r="O202" i="3"/>
  <c r="C26" i="4"/>
  <c r="B9" i="16"/>
  <c r="B10" i="16"/>
  <c r="B8" i="16"/>
  <c r="B5" i="16"/>
  <c r="B4" i="16"/>
  <c r="B14" i="16"/>
  <c r="B15" i="16"/>
  <c r="B7" i="16" l="1"/>
  <c r="B6" i="16"/>
  <c r="B3" i="16"/>
  <c r="C5" i="14" l="1"/>
  <c r="G5" i="1"/>
  <c r="G7" i="1" s="1"/>
  <c r="E11" i="1" a="1"/>
  <c r="E11" i="1" s="1"/>
  <c r="E12" i="1" a="1"/>
  <c r="E12" i="1" s="1"/>
  <c r="E13" i="1" a="1"/>
  <c r="E13" i="1" s="1"/>
  <c r="E14" i="1" a="1"/>
  <c r="E14" i="1" s="1"/>
  <c r="E15" i="1" a="1"/>
  <c r="E15" i="1" s="1"/>
  <c r="E16" i="1" a="1"/>
  <c r="E16" i="1" s="1"/>
  <c r="E17" i="1" a="1"/>
  <c r="E17" i="1" s="1"/>
  <c r="E18" i="1" a="1"/>
  <c r="E18" i="1" s="1"/>
  <c r="E19" i="1" a="1"/>
  <c r="E19" i="1" s="1"/>
  <c r="E20" i="1" a="1"/>
  <c r="E20" i="1" s="1"/>
  <c r="E21" i="1" a="1"/>
  <c r="E21" i="1" s="1"/>
  <c r="E22" i="1" a="1"/>
  <c r="E22" i="1" s="1"/>
  <c r="E23" i="1" a="1"/>
  <c r="E23" i="1" s="1"/>
  <c r="E24" i="1" a="1"/>
  <c r="E24" i="1" s="1"/>
  <c r="E25" i="1" a="1"/>
  <c r="E25" i="1" s="1"/>
  <c r="E26" i="1" a="1"/>
  <c r="E26" i="1" s="1"/>
  <c r="E27" i="1" a="1"/>
  <c r="E27" i="1" s="1"/>
  <c r="E28" i="1" a="1"/>
  <c r="E28" i="1" s="1"/>
  <c r="E29" i="1" a="1"/>
  <c r="E29" i="1" s="1"/>
  <c r="E30" i="1" a="1"/>
  <c r="E30" i="1" s="1"/>
  <c r="E31" i="1" a="1"/>
  <c r="E31" i="1" s="1"/>
  <c r="E32" i="1" a="1"/>
  <c r="E32" i="1" s="1"/>
  <c r="E33" i="1" a="1"/>
  <c r="E33" i="1" s="1"/>
  <c r="E34" i="1" a="1"/>
  <c r="E34" i="1" s="1"/>
  <c r="G69" i="4" s="1"/>
  <c r="E35" i="1" a="1"/>
  <c r="E35" i="1" s="1"/>
  <c r="E36" i="1" a="1"/>
  <c r="E36" i="1" s="1"/>
  <c r="E37" i="1" a="1"/>
  <c r="E37" i="1" s="1"/>
  <c r="E38" i="1" a="1"/>
  <c r="E38" i="1" s="1"/>
  <c r="E39" i="1" a="1"/>
  <c r="E39" i="1" s="1"/>
  <c r="E40" i="1" a="1"/>
  <c r="E40" i="1" s="1"/>
  <c r="E41" i="1" a="1"/>
  <c r="E41" i="1" s="1"/>
  <c r="E42" i="1" a="1"/>
  <c r="E42" i="1" s="1"/>
  <c r="E43" i="1" a="1"/>
  <c r="E43" i="1" s="1"/>
  <c r="F74" i="4"/>
  <c r="F75" i="4"/>
  <c r="F76" i="4"/>
  <c r="F77" i="4"/>
  <c r="F78" i="4"/>
  <c r="F58" i="4"/>
  <c r="F59" i="4"/>
  <c r="F60" i="4"/>
  <c r="F61" i="4"/>
  <c r="F62" i="4"/>
  <c r="F63" i="4"/>
  <c r="F64" i="4"/>
  <c r="F65" i="4"/>
  <c r="F66" i="4"/>
  <c r="F67" i="4"/>
  <c r="F68" i="4"/>
  <c r="F69" i="4"/>
  <c r="F70" i="4"/>
  <c r="F71" i="4"/>
  <c r="F72" i="4"/>
  <c r="F73" i="4"/>
  <c r="M19" i="4"/>
  <c r="O19" i="4"/>
  <c r="M20" i="4"/>
  <c r="O20" i="4"/>
  <c r="M21" i="4"/>
  <c r="O21" i="4"/>
  <c r="M22" i="4"/>
  <c r="O22" i="4"/>
  <c r="M23" i="4"/>
  <c r="O23" i="4"/>
  <c r="M24" i="4"/>
  <c r="O24" i="4"/>
  <c r="M25" i="4"/>
  <c r="O25" i="4"/>
  <c r="M26" i="4"/>
  <c r="O26" i="4"/>
  <c r="M27" i="4"/>
  <c r="O27" i="4"/>
  <c r="M28" i="4"/>
  <c r="O28" i="4"/>
  <c r="M29" i="4"/>
  <c r="O29" i="4"/>
  <c r="M30" i="4"/>
  <c r="O30" i="4"/>
  <c r="M31" i="4"/>
  <c r="O31" i="4"/>
  <c r="M32" i="4"/>
  <c r="O32" i="4"/>
  <c r="M33" i="4"/>
  <c r="O33" i="4"/>
  <c r="M34" i="4"/>
  <c r="O34" i="4"/>
  <c r="M35" i="4"/>
  <c r="O35" i="4"/>
  <c r="M36" i="4"/>
  <c r="O36" i="4"/>
  <c r="M37" i="4"/>
  <c r="O37" i="4"/>
  <c r="M38" i="4"/>
  <c r="O38" i="4"/>
  <c r="M39" i="4"/>
  <c r="O39" i="4"/>
  <c r="F34" i="4"/>
  <c r="F35" i="4"/>
  <c r="F36" i="4"/>
  <c r="F37" i="4"/>
  <c r="F38" i="4"/>
  <c r="F39" i="4"/>
  <c r="F19" i="4"/>
  <c r="F20" i="4"/>
  <c r="F21" i="4"/>
  <c r="F22" i="4"/>
  <c r="F23" i="4"/>
  <c r="F24" i="4"/>
  <c r="F25" i="4"/>
  <c r="F26" i="4"/>
  <c r="F27" i="4"/>
  <c r="F28" i="4"/>
  <c r="F29" i="4"/>
  <c r="F30" i="4"/>
  <c r="F31" i="4"/>
  <c r="F32" i="4"/>
  <c r="F33" i="4"/>
  <c r="T39" i="4"/>
  <c r="V39" i="4"/>
  <c r="W39" i="4"/>
  <c r="X39" i="4"/>
  <c r="Y39" i="4"/>
  <c r="Z39" i="4"/>
  <c r="AA39" i="4"/>
  <c r="AB39" i="4"/>
  <c r="AC39" i="4"/>
  <c r="AD39" i="4"/>
  <c r="AE39" i="4"/>
  <c r="AF39" i="4"/>
  <c r="AG39" i="4"/>
  <c r="AH39" i="4"/>
  <c r="AI39" i="4"/>
  <c r="AJ39" i="4"/>
  <c r="AK39" i="4"/>
  <c r="AL39" i="4"/>
  <c r="AM39" i="4"/>
  <c r="AN39" i="4"/>
  <c r="AO39" i="4"/>
  <c r="AP39" i="4"/>
  <c r="AQ39" i="4"/>
  <c r="AR39" i="4"/>
  <c r="AS39" i="4"/>
  <c r="AT39" i="4"/>
  <c r="AU39" i="4"/>
  <c r="AV39" i="4"/>
  <c r="AW39" i="4"/>
  <c r="AX39" i="4"/>
  <c r="AY39" i="4"/>
  <c r="AZ39" i="4"/>
  <c r="BA39" i="4"/>
  <c r="BB39" i="4"/>
  <c r="BC39" i="4"/>
  <c r="BD39" i="4"/>
  <c r="BE39" i="4"/>
  <c r="T32" i="4"/>
  <c r="V32" i="4"/>
  <c r="W32" i="4"/>
  <c r="X32" i="4"/>
  <c r="Y32" i="4"/>
  <c r="Z32" i="4"/>
  <c r="AA32" i="4"/>
  <c r="AB32" i="4"/>
  <c r="AC32" i="4"/>
  <c r="AD32" i="4"/>
  <c r="AE32" i="4"/>
  <c r="AF32" i="4"/>
  <c r="AG32" i="4"/>
  <c r="AH32" i="4"/>
  <c r="AI32" i="4"/>
  <c r="AJ32" i="4"/>
  <c r="AK32" i="4"/>
  <c r="AL32" i="4"/>
  <c r="AM32" i="4"/>
  <c r="AN32" i="4"/>
  <c r="AO32" i="4"/>
  <c r="AP32" i="4"/>
  <c r="AQ32" i="4"/>
  <c r="AR32" i="4"/>
  <c r="AS32" i="4"/>
  <c r="AT32" i="4"/>
  <c r="AU32" i="4"/>
  <c r="AV32" i="4"/>
  <c r="AW32" i="4"/>
  <c r="AX32" i="4"/>
  <c r="AY32" i="4"/>
  <c r="AZ32" i="4"/>
  <c r="BA32" i="4"/>
  <c r="BB32" i="4"/>
  <c r="BC32" i="4"/>
  <c r="BD32" i="4"/>
  <c r="BE32" i="4"/>
  <c r="T33" i="4"/>
  <c r="V33" i="4"/>
  <c r="W33" i="4"/>
  <c r="X33" i="4"/>
  <c r="Y33" i="4"/>
  <c r="Z33" i="4"/>
  <c r="AA33" i="4"/>
  <c r="AB33" i="4"/>
  <c r="AC33" i="4"/>
  <c r="AD33" i="4"/>
  <c r="AE33" i="4"/>
  <c r="AF33" i="4"/>
  <c r="AG33" i="4"/>
  <c r="AH33" i="4"/>
  <c r="AI33" i="4"/>
  <c r="AJ33" i="4"/>
  <c r="AK33" i="4"/>
  <c r="AL33" i="4"/>
  <c r="AM33" i="4"/>
  <c r="AN33" i="4"/>
  <c r="AO33" i="4"/>
  <c r="AP33" i="4"/>
  <c r="AQ33" i="4"/>
  <c r="AR33" i="4"/>
  <c r="AS33" i="4"/>
  <c r="AT33" i="4"/>
  <c r="AU33" i="4"/>
  <c r="AV33" i="4"/>
  <c r="AW33" i="4"/>
  <c r="AX33" i="4"/>
  <c r="AY33" i="4"/>
  <c r="AZ33" i="4"/>
  <c r="BA33" i="4"/>
  <c r="BB33" i="4"/>
  <c r="BC33" i="4"/>
  <c r="BD33" i="4"/>
  <c r="BE33" i="4"/>
  <c r="T34" i="4"/>
  <c r="V34" i="4"/>
  <c r="W34" i="4"/>
  <c r="X34" i="4"/>
  <c r="Y34" i="4"/>
  <c r="Z34" i="4"/>
  <c r="AA34" i="4"/>
  <c r="AB34" i="4"/>
  <c r="AC34" i="4"/>
  <c r="AD34" i="4"/>
  <c r="AE34" i="4"/>
  <c r="AF34" i="4"/>
  <c r="AG34" i="4"/>
  <c r="AH34" i="4"/>
  <c r="AI34" i="4"/>
  <c r="AJ34" i="4"/>
  <c r="AK34" i="4"/>
  <c r="AL34" i="4"/>
  <c r="AM34" i="4"/>
  <c r="AN34" i="4"/>
  <c r="AO34" i="4"/>
  <c r="AP34" i="4"/>
  <c r="AQ34" i="4"/>
  <c r="AR34" i="4"/>
  <c r="AS34" i="4"/>
  <c r="AT34" i="4"/>
  <c r="AU34" i="4"/>
  <c r="AV34" i="4"/>
  <c r="AW34" i="4"/>
  <c r="AX34" i="4"/>
  <c r="AY34" i="4"/>
  <c r="AZ34" i="4"/>
  <c r="BA34" i="4"/>
  <c r="BB34" i="4"/>
  <c r="BC34" i="4"/>
  <c r="BD34" i="4"/>
  <c r="BE34" i="4"/>
  <c r="T35" i="4"/>
  <c r="V35" i="4"/>
  <c r="W35" i="4"/>
  <c r="X35" i="4"/>
  <c r="Y35" i="4"/>
  <c r="Z35" i="4"/>
  <c r="AA35" i="4"/>
  <c r="AB35" i="4"/>
  <c r="AC35" i="4"/>
  <c r="AD35" i="4"/>
  <c r="AE35" i="4"/>
  <c r="AF35" i="4"/>
  <c r="AG35" i="4"/>
  <c r="AH35" i="4"/>
  <c r="AI35" i="4"/>
  <c r="AJ35" i="4"/>
  <c r="AK35" i="4"/>
  <c r="AL35" i="4"/>
  <c r="AM35" i="4"/>
  <c r="AN35" i="4"/>
  <c r="AO35" i="4"/>
  <c r="AP35" i="4"/>
  <c r="AQ35" i="4"/>
  <c r="AR35" i="4"/>
  <c r="AS35" i="4"/>
  <c r="AT35" i="4"/>
  <c r="AU35" i="4"/>
  <c r="AV35" i="4"/>
  <c r="AW35" i="4"/>
  <c r="AX35" i="4"/>
  <c r="AY35" i="4"/>
  <c r="AZ35" i="4"/>
  <c r="BA35" i="4"/>
  <c r="BB35" i="4"/>
  <c r="BC35" i="4"/>
  <c r="BD35" i="4"/>
  <c r="BE35" i="4"/>
  <c r="T36" i="4"/>
  <c r="V36" i="4"/>
  <c r="W36" i="4"/>
  <c r="X36" i="4"/>
  <c r="Y36" i="4"/>
  <c r="Z36" i="4"/>
  <c r="AA36" i="4"/>
  <c r="AB36" i="4"/>
  <c r="AC36" i="4"/>
  <c r="AD36" i="4"/>
  <c r="AE36" i="4"/>
  <c r="AF36" i="4"/>
  <c r="AG36" i="4"/>
  <c r="AH36" i="4"/>
  <c r="AI36" i="4"/>
  <c r="AJ36" i="4"/>
  <c r="AK36" i="4"/>
  <c r="AL36" i="4"/>
  <c r="AM36" i="4"/>
  <c r="AN36" i="4"/>
  <c r="AO36" i="4"/>
  <c r="AP36" i="4"/>
  <c r="AQ36" i="4"/>
  <c r="AR36" i="4"/>
  <c r="AS36" i="4"/>
  <c r="AT36" i="4"/>
  <c r="AU36" i="4"/>
  <c r="AV36" i="4"/>
  <c r="AW36" i="4"/>
  <c r="AX36" i="4"/>
  <c r="AY36" i="4"/>
  <c r="AZ36" i="4"/>
  <c r="BA36" i="4"/>
  <c r="BB36" i="4"/>
  <c r="BC36" i="4"/>
  <c r="BD36" i="4"/>
  <c r="BE36" i="4"/>
  <c r="T37" i="4"/>
  <c r="V37" i="4"/>
  <c r="W37" i="4"/>
  <c r="X37" i="4"/>
  <c r="Y37" i="4"/>
  <c r="Z37" i="4"/>
  <c r="AA37" i="4"/>
  <c r="AB37" i="4"/>
  <c r="AC37" i="4"/>
  <c r="AD37" i="4"/>
  <c r="AE37" i="4"/>
  <c r="AF37" i="4"/>
  <c r="AG37" i="4"/>
  <c r="AH37" i="4"/>
  <c r="AI37" i="4"/>
  <c r="AJ37" i="4"/>
  <c r="AK37" i="4"/>
  <c r="AL37" i="4"/>
  <c r="AM37" i="4"/>
  <c r="AN37" i="4"/>
  <c r="AO37" i="4"/>
  <c r="AP37" i="4"/>
  <c r="AQ37" i="4"/>
  <c r="AR37" i="4"/>
  <c r="AS37" i="4"/>
  <c r="AT37" i="4"/>
  <c r="AU37" i="4"/>
  <c r="AV37" i="4"/>
  <c r="AW37" i="4"/>
  <c r="AX37" i="4"/>
  <c r="AY37" i="4"/>
  <c r="AZ37" i="4"/>
  <c r="BA37" i="4"/>
  <c r="BB37" i="4"/>
  <c r="BC37" i="4"/>
  <c r="BD37" i="4"/>
  <c r="BE37" i="4"/>
  <c r="T38" i="4"/>
  <c r="V38" i="4"/>
  <c r="W38" i="4"/>
  <c r="X38" i="4"/>
  <c r="Y38" i="4"/>
  <c r="Z38" i="4"/>
  <c r="AA38" i="4"/>
  <c r="AB38" i="4"/>
  <c r="AC38" i="4"/>
  <c r="AD38" i="4"/>
  <c r="AE38" i="4"/>
  <c r="AF38" i="4"/>
  <c r="AG38" i="4"/>
  <c r="AH38" i="4"/>
  <c r="AI38" i="4"/>
  <c r="AJ38" i="4"/>
  <c r="AK38" i="4"/>
  <c r="AL38" i="4"/>
  <c r="AM38" i="4"/>
  <c r="AN38" i="4"/>
  <c r="AO38" i="4"/>
  <c r="AP38" i="4"/>
  <c r="AQ38" i="4"/>
  <c r="AR38" i="4"/>
  <c r="AS38" i="4"/>
  <c r="AT38" i="4"/>
  <c r="AU38" i="4"/>
  <c r="AV38" i="4"/>
  <c r="AW38" i="4"/>
  <c r="AX38" i="4"/>
  <c r="AY38" i="4"/>
  <c r="AZ38" i="4"/>
  <c r="BA38" i="4"/>
  <c r="BB38" i="4"/>
  <c r="BC38" i="4"/>
  <c r="BD38" i="4"/>
  <c r="BE38" i="4"/>
  <c r="T24" i="4"/>
  <c r="V24" i="4"/>
  <c r="W24" i="4"/>
  <c r="X24" i="4"/>
  <c r="Y24" i="4"/>
  <c r="Z24" i="4"/>
  <c r="AA24" i="4"/>
  <c r="AB24" i="4"/>
  <c r="AC24" i="4"/>
  <c r="AD24" i="4"/>
  <c r="AE24" i="4"/>
  <c r="AF24" i="4"/>
  <c r="AG24" i="4"/>
  <c r="AH24" i="4"/>
  <c r="AI24" i="4"/>
  <c r="AJ24" i="4"/>
  <c r="AK24" i="4"/>
  <c r="AL24" i="4"/>
  <c r="AM24" i="4"/>
  <c r="AN24" i="4"/>
  <c r="AO24" i="4"/>
  <c r="AP24" i="4"/>
  <c r="AQ24" i="4"/>
  <c r="AR24" i="4"/>
  <c r="AS24" i="4"/>
  <c r="AT24" i="4"/>
  <c r="AU24" i="4"/>
  <c r="AV24" i="4"/>
  <c r="AW24" i="4"/>
  <c r="AX24" i="4"/>
  <c r="AY24" i="4"/>
  <c r="AZ24" i="4"/>
  <c r="BA24" i="4"/>
  <c r="BB24" i="4"/>
  <c r="BC24" i="4"/>
  <c r="BD24" i="4"/>
  <c r="BE24" i="4"/>
  <c r="T25" i="4"/>
  <c r="V25" i="4"/>
  <c r="W25" i="4"/>
  <c r="X25" i="4"/>
  <c r="Y25" i="4"/>
  <c r="Z25" i="4"/>
  <c r="AA25" i="4"/>
  <c r="AB25" i="4"/>
  <c r="AC25" i="4"/>
  <c r="AD25" i="4"/>
  <c r="AE25" i="4"/>
  <c r="AF25" i="4"/>
  <c r="AG25" i="4"/>
  <c r="AH25" i="4"/>
  <c r="AI25" i="4"/>
  <c r="AJ25" i="4"/>
  <c r="AK25" i="4"/>
  <c r="AL25" i="4"/>
  <c r="AM25" i="4"/>
  <c r="AN25" i="4"/>
  <c r="AO25" i="4"/>
  <c r="AP25" i="4"/>
  <c r="AQ25" i="4"/>
  <c r="AR25" i="4"/>
  <c r="AS25" i="4"/>
  <c r="AT25" i="4"/>
  <c r="AU25" i="4"/>
  <c r="AV25" i="4"/>
  <c r="AW25" i="4"/>
  <c r="AX25" i="4"/>
  <c r="AY25" i="4"/>
  <c r="AZ25" i="4"/>
  <c r="BA25" i="4"/>
  <c r="BB25" i="4"/>
  <c r="BC25" i="4"/>
  <c r="BD25" i="4"/>
  <c r="BE25" i="4"/>
  <c r="T26" i="4"/>
  <c r="V26" i="4"/>
  <c r="W26" i="4"/>
  <c r="X26" i="4"/>
  <c r="Y26" i="4"/>
  <c r="Z26" i="4"/>
  <c r="AA26" i="4"/>
  <c r="AB26" i="4"/>
  <c r="AC26" i="4"/>
  <c r="AD26" i="4"/>
  <c r="AE26" i="4"/>
  <c r="AF26" i="4"/>
  <c r="AG26" i="4"/>
  <c r="AH26" i="4"/>
  <c r="AI26" i="4"/>
  <c r="AJ26" i="4"/>
  <c r="AK26" i="4"/>
  <c r="AL26" i="4"/>
  <c r="AM26" i="4"/>
  <c r="AN26" i="4"/>
  <c r="AO26" i="4"/>
  <c r="AP26" i="4"/>
  <c r="AQ26" i="4"/>
  <c r="AR26" i="4"/>
  <c r="AS26" i="4"/>
  <c r="AT26" i="4"/>
  <c r="AU26" i="4"/>
  <c r="AV26" i="4"/>
  <c r="AW26" i="4"/>
  <c r="AX26" i="4"/>
  <c r="AY26" i="4"/>
  <c r="AZ26" i="4"/>
  <c r="BA26" i="4"/>
  <c r="BB26" i="4"/>
  <c r="BC26" i="4"/>
  <c r="BD26" i="4"/>
  <c r="BE26" i="4"/>
  <c r="T27" i="4"/>
  <c r="V27" i="4"/>
  <c r="W27" i="4"/>
  <c r="X27" i="4"/>
  <c r="Y27" i="4"/>
  <c r="Z27" i="4"/>
  <c r="AA27" i="4"/>
  <c r="AB27" i="4"/>
  <c r="AC27" i="4"/>
  <c r="AD27" i="4"/>
  <c r="AE27" i="4"/>
  <c r="AF27" i="4"/>
  <c r="AG27" i="4"/>
  <c r="AH27" i="4"/>
  <c r="AI27" i="4"/>
  <c r="AJ27" i="4"/>
  <c r="AK27" i="4"/>
  <c r="AL27" i="4"/>
  <c r="AM27" i="4"/>
  <c r="AN27" i="4"/>
  <c r="AO27" i="4"/>
  <c r="AP27" i="4"/>
  <c r="AQ27" i="4"/>
  <c r="AR27" i="4"/>
  <c r="AS27" i="4"/>
  <c r="AT27" i="4"/>
  <c r="AU27" i="4"/>
  <c r="AV27" i="4"/>
  <c r="AW27" i="4"/>
  <c r="AX27" i="4"/>
  <c r="AY27" i="4"/>
  <c r="AZ27" i="4"/>
  <c r="BA27" i="4"/>
  <c r="BB27" i="4"/>
  <c r="BC27" i="4"/>
  <c r="BD27" i="4"/>
  <c r="BE27" i="4"/>
  <c r="T28" i="4"/>
  <c r="V28" i="4"/>
  <c r="W28" i="4"/>
  <c r="X28" i="4"/>
  <c r="Y28" i="4"/>
  <c r="Z28" i="4"/>
  <c r="AA28" i="4"/>
  <c r="AB28" i="4"/>
  <c r="AC28" i="4"/>
  <c r="AD28" i="4"/>
  <c r="AE28" i="4"/>
  <c r="AF28" i="4"/>
  <c r="AG28" i="4"/>
  <c r="AH28" i="4"/>
  <c r="AI28" i="4"/>
  <c r="AJ28" i="4"/>
  <c r="AK28" i="4"/>
  <c r="AL28" i="4"/>
  <c r="AM28" i="4"/>
  <c r="AN28" i="4"/>
  <c r="AO28" i="4"/>
  <c r="AP28" i="4"/>
  <c r="AQ28" i="4"/>
  <c r="AR28" i="4"/>
  <c r="AS28" i="4"/>
  <c r="AT28" i="4"/>
  <c r="AU28" i="4"/>
  <c r="AV28" i="4"/>
  <c r="AW28" i="4"/>
  <c r="AX28" i="4"/>
  <c r="AY28" i="4"/>
  <c r="AZ28" i="4"/>
  <c r="BA28" i="4"/>
  <c r="BB28" i="4"/>
  <c r="BC28" i="4"/>
  <c r="BD28" i="4"/>
  <c r="BE28" i="4"/>
  <c r="T29" i="4"/>
  <c r="V29" i="4"/>
  <c r="W29" i="4"/>
  <c r="X29" i="4"/>
  <c r="Y29" i="4"/>
  <c r="Z29" i="4"/>
  <c r="AA29" i="4"/>
  <c r="AB29" i="4"/>
  <c r="AC29" i="4"/>
  <c r="AD29" i="4"/>
  <c r="AE29" i="4"/>
  <c r="AF29" i="4"/>
  <c r="AG29" i="4"/>
  <c r="AH29" i="4"/>
  <c r="AI29" i="4"/>
  <c r="AJ29" i="4"/>
  <c r="AK29" i="4"/>
  <c r="AL29" i="4"/>
  <c r="AM29" i="4"/>
  <c r="AN29" i="4"/>
  <c r="AO29" i="4"/>
  <c r="AP29" i="4"/>
  <c r="AQ29" i="4"/>
  <c r="AR29" i="4"/>
  <c r="AS29" i="4"/>
  <c r="AT29" i="4"/>
  <c r="AU29" i="4"/>
  <c r="AV29" i="4"/>
  <c r="AW29" i="4"/>
  <c r="AX29" i="4"/>
  <c r="AY29" i="4"/>
  <c r="AZ29" i="4"/>
  <c r="BA29" i="4"/>
  <c r="BB29" i="4"/>
  <c r="BC29" i="4"/>
  <c r="BD29" i="4"/>
  <c r="BE29" i="4"/>
  <c r="T30" i="4"/>
  <c r="V30" i="4"/>
  <c r="W30" i="4"/>
  <c r="X30" i="4"/>
  <c r="Y30" i="4"/>
  <c r="Z30" i="4"/>
  <c r="AA30" i="4"/>
  <c r="AB30" i="4"/>
  <c r="AC30" i="4"/>
  <c r="AD30" i="4"/>
  <c r="AE30" i="4"/>
  <c r="AF30" i="4"/>
  <c r="AG30" i="4"/>
  <c r="AH30" i="4"/>
  <c r="AI30" i="4"/>
  <c r="AJ30" i="4"/>
  <c r="AK30" i="4"/>
  <c r="AL30" i="4"/>
  <c r="AM30" i="4"/>
  <c r="AN30" i="4"/>
  <c r="AO30" i="4"/>
  <c r="AP30" i="4"/>
  <c r="AQ30" i="4"/>
  <c r="AR30" i="4"/>
  <c r="AS30" i="4"/>
  <c r="AT30" i="4"/>
  <c r="AU30" i="4"/>
  <c r="AV30" i="4"/>
  <c r="AW30" i="4"/>
  <c r="AX30" i="4"/>
  <c r="AY30" i="4"/>
  <c r="AZ30" i="4"/>
  <c r="BA30" i="4"/>
  <c r="BB30" i="4"/>
  <c r="BC30" i="4"/>
  <c r="BD30" i="4"/>
  <c r="BE30" i="4"/>
  <c r="T31" i="4"/>
  <c r="V31" i="4"/>
  <c r="W31" i="4"/>
  <c r="X31" i="4"/>
  <c r="Y31" i="4"/>
  <c r="Z31" i="4"/>
  <c r="AA31" i="4"/>
  <c r="AB31" i="4"/>
  <c r="AC31" i="4"/>
  <c r="AD31" i="4"/>
  <c r="AE31" i="4"/>
  <c r="AF31" i="4"/>
  <c r="AG31" i="4"/>
  <c r="AH31" i="4"/>
  <c r="AI31" i="4"/>
  <c r="AJ31" i="4"/>
  <c r="AK31" i="4"/>
  <c r="AL31" i="4"/>
  <c r="AM31" i="4"/>
  <c r="AN31" i="4"/>
  <c r="AO31" i="4"/>
  <c r="AP31" i="4"/>
  <c r="AQ31" i="4"/>
  <c r="AR31" i="4"/>
  <c r="AS31" i="4"/>
  <c r="AT31" i="4"/>
  <c r="AU31" i="4"/>
  <c r="AV31" i="4"/>
  <c r="AW31" i="4"/>
  <c r="AX31" i="4"/>
  <c r="AY31" i="4"/>
  <c r="AZ31" i="4"/>
  <c r="BA31" i="4"/>
  <c r="BB31" i="4"/>
  <c r="BC31" i="4"/>
  <c r="BD31" i="4"/>
  <c r="BE31" i="4"/>
  <c r="AR28" i="1"/>
  <c r="H24" i="4" s="1"/>
  <c r="AR29" i="1"/>
  <c r="H64" i="4" s="1"/>
  <c r="AR30" i="1"/>
  <c r="H65" i="4" s="1"/>
  <c r="AR31" i="1"/>
  <c r="H66" i="4" s="1"/>
  <c r="AR32" i="1"/>
  <c r="H67" i="4" s="1"/>
  <c r="AR33" i="1"/>
  <c r="H68" i="4" s="1"/>
  <c r="AR34" i="1"/>
  <c r="H69" i="4" s="1"/>
  <c r="AR35" i="1"/>
  <c r="H31" i="4" s="1"/>
  <c r="AR36" i="1"/>
  <c r="H71" i="4" s="1"/>
  <c r="AR37" i="1"/>
  <c r="H72" i="4" s="1"/>
  <c r="AR38" i="1"/>
  <c r="H34" i="4" s="1"/>
  <c r="AR39" i="1"/>
  <c r="H74" i="4" s="1"/>
  <c r="AR40" i="1"/>
  <c r="H75" i="4" s="1"/>
  <c r="AR41" i="1"/>
  <c r="H37" i="4" s="1"/>
  <c r="AR42" i="1"/>
  <c r="H77" i="4" s="1"/>
  <c r="AR43" i="1"/>
  <c r="H78" i="4" s="1"/>
  <c r="Y29" i="3"/>
  <c r="Y30" i="3"/>
  <c r="Y31" i="3"/>
  <c r="Y32" i="3"/>
  <c r="Y33" i="3"/>
  <c r="Y34" i="3"/>
  <c r="Y35" i="3"/>
  <c r="Y36" i="3"/>
  <c r="Y9" i="3"/>
  <c r="Y10" i="3"/>
  <c r="Y11" i="3"/>
  <c r="Y12" i="3"/>
  <c r="Y13" i="3"/>
  <c r="Y14" i="3"/>
  <c r="Y15" i="3"/>
  <c r="Y16" i="3"/>
  <c r="Y17" i="3"/>
  <c r="Y18" i="3"/>
  <c r="Y19" i="3"/>
  <c r="Y20" i="3"/>
  <c r="Y21" i="3"/>
  <c r="Y22" i="3"/>
  <c r="Y23" i="3"/>
  <c r="Y24" i="3"/>
  <c r="Y25" i="3"/>
  <c r="Y26" i="3"/>
  <c r="Y27" i="3"/>
  <c r="Y28" i="3"/>
  <c r="Q282" i="3"/>
  <c r="Q283" i="3"/>
  <c r="Q284" i="3"/>
  <c r="Q285" i="3"/>
  <c r="Q281" i="3"/>
  <c r="O281" i="3"/>
  <c r="O282" i="3"/>
  <c r="O283" i="3"/>
  <c r="O284" i="3"/>
  <c r="O285" i="3"/>
  <c r="T20" i="4"/>
  <c r="V20" i="4"/>
  <c r="W20" i="4"/>
  <c r="X20" i="4"/>
  <c r="Y20" i="4"/>
  <c r="Z20" i="4"/>
  <c r="AA20" i="4"/>
  <c r="AB20" i="4"/>
  <c r="AC20" i="4"/>
  <c r="AD20" i="4"/>
  <c r="AE20" i="4"/>
  <c r="AF20" i="4"/>
  <c r="AG20" i="4"/>
  <c r="AH20" i="4"/>
  <c r="AI20" i="4"/>
  <c r="AJ20" i="4"/>
  <c r="AK20" i="4"/>
  <c r="AL20" i="4"/>
  <c r="AM20" i="4"/>
  <c r="AN20" i="4"/>
  <c r="AO20" i="4"/>
  <c r="AP20" i="4"/>
  <c r="AQ20" i="4"/>
  <c r="AR20" i="4"/>
  <c r="AS20" i="4"/>
  <c r="AT20" i="4"/>
  <c r="AU20" i="4"/>
  <c r="AV20" i="4"/>
  <c r="AW20" i="4"/>
  <c r="AX20" i="4"/>
  <c r="AY20" i="4"/>
  <c r="AZ20" i="4"/>
  <c r="BA20" i="4"/>
  <c r="BB20" i="4"/>
  <c r="BC20" i="4"/>
  <c r="BD20" i="4"/>
  <c r="BE20" i="4"/>
  <c r="T21" i="4"/>
  <c r="V21" i="4"/>
  <c r="W21" i="4"/>
  <c r="X21" i="4"/>
  <c r="Y21" i="4"/>
  <c r="Z21" i="4"/>
  <c r="AA21" i="4"/>
  <c r="AB21" i="4"/>
  <c r="AC21" i="4"/>
  <c r="AD21" i="4"/>
  <c r="AE21" i="4"/>
  <c r="AF21" i="4"/>
  <c r="AG21" i="4"/>
  <c r="AH21" i="4"/>
  <c r="AI21" i="4"/>
  <c r="AJ21" i="4"/>
  <c r="AK21" i="4"/>
  <c r="AL21" i="4"/>
  <c r="AM21" i="4"/>
  <c r="AN21" i="4"/>
  <c r="AO21" i="4"/>
  <c r="AP21" i="4"/>
  <c r="AQ21" i="4"/>
  <c r="AR21" i="4"/>
  <c r="AS21" i="4"/>
  <c r="AT21" i="4"/>
  <c r="AU21" i="4"/>
  <c r="AV21" i="4"/>
  <c r="AW21" i="4"/>
  <c r="AX21" i="4"/>
  <c r="AY21" i="4"/>
  <c r="AZ21" i="4"/>
  <c r="BA21" i="4"/>
  <c r="BB21" i="4"/>
  <c r="BC21" i="4"/>
  <c r="BD21" i="4"/>
  <c r="BE21" i="4"/>
  <c r="T22" i="4"/>
  <c r="V22" i="4"/>
  <c r="W22" i="4"/>
  <c r="X22" i="4"/>
  <c r="Y22" i="4"/>
  <c r="Z22" i="4"/>
  <c r="AA22" i="4"/>
  <c r="AB22" i="4"/>
  <c r="AC22" i="4"/>
  <c r="AD22" i="4"/>
  <c r="AE22" i="4"/>
  <c r="AF22" i="4"/>
  <c r="AG22" i="4"/>
  <c r="AH22" i="4"/>
  <c r="AI22" i="4"/>
  <c r="AJ22" i="4"/>
  <c r="AK22" i="4"/>
  <c r="AL22" i="4"/>
  <c r="AM22" i="4"/>
  <c r="AN22" i="4"/>
  <c r="AO22" i="4"/>
  <c r="AP22" i="4"/>
  <c r="AQ22" i="4"/>
  <c r="AR22" i="4"/>
  <c r="AS22" i="4"/>
  <c r="AT22" i="4"/>
  <c r="AU22" i="4"/>
  <c r="AV22" i="4"/>
  <c r="AW22" i="4"/>
  <c r="AX22" i="4"/>
  <c r="AY22" i="4"/>
  <c r="AZ22" i="4"/>
  <c r="BA22" i="4"/>
  <c r="BB22" i="4"/>
  <c r="BC22" i="4"/>
  <c r="BD22" i="4"/>
  <c r="BE22" i="4"/>
  <c r="T23" i="4"/>
  <c r="V23" i="4"/>
  <c r="W23" i="4"/>
  <c r="X23" i="4"/>
  <c r="Y23" i="4"/>
  <c r="Z23" i="4"/>
  <c r="AA23" i="4"/>
  <c r="AB23" i="4"/>
  <c r="AC23" i="4"/>
  <c r="AD23" i="4"/>
  <c r="AE23" i="4"/>
  <c r="AF23" i="4"/>
  <c r="AG23" i="4"/>
  <c r="AH23" i="4"/>
  <c r="AI23" i="4"/>
  <c r="AJ23" i="4"/>
  <c r="AK23" i="4"/>
  <c r="AL23" i="4"/>
  <c r="AM23" i="4"/>
  <c r="AN23" i="4"/>
  <c r="AO23" i="4"/>
  <c r="AP23" i="4"/>
  <c r="AQ23" i="4"/>
  <c r="AR23" i="4"/>
  <c r="AS23" i="4"/>
  <c r="AT23" i="4"/>
  <c r="AU23" i="4"/>
  <c r="AV23" i="4"/>
  <c r="AW23" i="4"/>
  <c r="AX23" i="4"/>
  <c r="AY23" i="4"/>
  <c r="AZ23" i="4"/>
  <c r="BA23" i="4"/>
  <c r="BB23" i="4"/>
  <c r="BC23" i="4"/>
  <c r="BD23" i="4"/>
  <c r="BE23" i="4"/>
  <c r="O20" i="3"/>
  <c r="Q276" i="3"/>
  <c r="P276" i="3" s="1"/>
  <c r="Q277" i="3"/>
  <c r="P277" i="3" s="1"/>
  <c r="Q278" i="3"/>
  <c r="P278" i="3" s="1"/>
  <c r="Q279" i="3"/>
  <c r="P279" i="3" s="1"/>
  <c r="Q275" i="3"/>
  <c r="P275" i="3" s="1"/>
  <c r="H76" i="4" l="1"/>
  <c r="H27" i="4"/>
  <c r="H30" i="4"/>
  <c r="H36" i="4"/>
  <c r="G26" i="4"/>
  <c r="U26" i="4"/>
  <c r="G65" i="4"/>
  <c r="N26" i="4"/>
  <c r="U38" i="4"/>
  <c r="G77" i="4"/>
  <c r="G34" i="4"/>
  <c r="N34" i="4"/>
  <c r="G73" i="4"/>
  <c r="G61" i="4"/>
  <c r="G22" i="4"/>
  <c r="H63" i="4"/>
  <c r="U30" i="4"/>
  <c r="G30" i="4"/>
  <c r="H26" i="4"/>
  <c r="H35" i="4"/>
  <c r="H73" i="4"/>
  <c r="H33" i="4"/>
  <c r="H29" i="4"/>
  <c r="H25" i="4"/>
  <c r="H38" i="4"/>
  <c r="H70" i="4"/>
  <c r="H32" i="4"/>
  <c r="H28" i="4"/>
  <c r="H39" i="4"/>
  <c r="G71" i="4"/>
  <c r="N32" i="4"/>
  <c r="G32" i="4"/>
  <c r="U32" i="4"/>
  <c r="G58" i="4"/>
  <c r="N19" i="4"/>
  <c r="G19" i="4"/>
  <c r="U31" i="4"/>
  <c r="G70" i="4"/>
  <c r="N31" i="4"/>
  <c r="G31" i="4"/>
  <c r="N25" i="4"/>
  <c r="G64" i="4"/>
  <c r="G25" i="4"/>
  <c r="U25" i="4"/>
  <c r="N37" i="4"/>
  <c r="G76" i="4"/>
  <c r="G37" i="4"/>
  <c r="U37" i="4"/>
  <c r="U24" i="4"/>
  <c r="G63" i="4"/>
  <c r="N24" i="4"/>
  <c r="G24" i="4"/>
  <c r="U35" i="4"/>
  <c r="N35" i="4"/>
  <c r="G35" i="4"/>
  <c r="G74" i="4"/>
  <c r="N36" i="4"/>
  <c r="G75" i="4"/>
  <c r="U36" i="4"/>
  <c r="G36" i="4"/>
  <c r="G68" i="4"/>
  <c r="N29" i="4"/>
  <c r="G29" i="4"/>
  <c r="U29" i="4"/>
  <c r="U28" i="4"/>
  <c r="G67" i="4"/>
  <c r="N28" i="4"/>
  <c r="G28" i="4"/>
  <c r="G23" i="4"/>
  <c r="G62" i="4"/>
  <c r="N23" i="4"/>
  <c r="G66" i="4"/>
  <c r="N27" i="4"/>
  <c r="U27" i="4"/>
  <c r="G27" i="4"/>
  <c r="G60" i="4"/>
  <c r="N21" i="4"/>
  <c r="G21" i="4"/>
  <c r="G39" i="4"/>
  <c r="U39" i="4"/>
  <c r="G78" i="4"/>
  <c r="N39" i="4"/>
  <c r="G72" i="4"/>
  <c r="N33" i="4"/>
  <c r="U33" i="4"/>
  <c r="G33" i="4"/>
  <c r="G59" i="4"/>
  <c r="N20" i="4"/>
  <c r="G20" i="4"/>
  <c r="G38" i="4"/>
  <c r="N38" i="4"/>
  <c r="N30" i="4"/>
  <c r="N22" i="4"/>
  <c r="U34" i="4"/>
  <c r="P282" i="3"/>
  <c r="P281" i="3"/>
  <c r="P284" i="3"/>
  <c r="P285" i="3"/>
  <c r="P283" i="3"/>
  <c r="I512" i="3"/>
  <c r="I513" i="3"/>
  <c r="O69" i="3" l="1"/>
  <c r="N256" i="8"/>
  <c r="O256" i="8"/>
  <c r="P256" i="8" a="1"/>
  <c r="P256" i="8" s="1"/>
  <c r="N257" i="8"/>
  <c r="O257" i="8"/>
  <c r="P257" i="8" a="1"/>
  <c r="P257" i="8" s="1"/>
  <c r="O53" i="3" l="1"/>
  <c r="O55" i="3"/>
  <c r="O37" i="3"/>
  <c r="O38" i="3"/>
  <c r="O39" i="3"/>
  <c r="O40" i="3"/>
  <c r="O28" i="3"/>
  <c r="O99" i="3"/>
  <c r="O86" i="3"/>
  <c r="O87" i="3"/>
  <c r="O88" i="3"/>
  <c r="O89" i="3"/>
  <c r="O90" i="3"/>
  <c r="O96" i="3"/>
  <c r="O97" i="3"/>
  <c r="O98" i="3"/>
  <c r="O74" i="3"/>
  <c r="O75" i="3"/>
  <c r="O76" i="3"/>
  <c r="O157" i="3"/>
  <c r="I132" i="3"/>
  <c r="I88" i="3"/>
  <c r="I87" i="3"/>
  <c r="I85" i="3"/>
  <c r="I25"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131" i="3"/>
  <c r="O155" i="3"/>
  <c r="O156" i="3"/>
  <c r="O14" i="3"/>
  <c r="O71" i="3"/>
  <c r="O251" i="3"/>
  <c r="O271" i="3"/>
  <c r="O261" i="3"/>
  <c r="O213" i="3"/>
  <c r="O204" i="3"/>
  <c r="I208" i="3"/>
  <c r="O248" i="3"/>
  <c r="O215" i="3"/>
  <c r="I2" i="3"/>
  <c r="I3" i="3"/>
  <c r="I4" i="3"/>
  <c r="I5" i="3"/>
  <c r="I6" i="3"/>
  <c r="I7" i="3"/>
  <c r="I8" i="3"/>
  <c r="I9" i="3"/>
  <c r="I10" i="3"/>
  <c r="I11" i="3"/>
  <c r="I12" i="3"/>
  <c r="I13" i="3"/>
  <c r="I14" i="3"/>
  <c r="I15" i="3"/>
  <c r="I16" i="3"/>
  <c r="I17" i="3"/>
  <c r="I18" i="3"/>
  <c r="I19" i="3"/>
  <c r="I20" i="3"/>
  <c r="I21" i="3"/>
  <c r="I22" i="3"/>
  <c r="I23" i="3"/>
  <c r="I24"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6"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96" i="3"/>
  <c r="I197" i="3"/>
  <c r="I198" i="3"/>
  <c r="I199" i="3"/>
  <c r="I200" i="3"/>
  <c r="I201" i="3"/>
  <c r="I202" i="3"/>
  <c r="I203" i="3"/>
  <c r="I204" i="3"/>
  <c r="I205" i="3"/>
  <c r="I206" i="3"/>
  <c r="I207" i="3"/>
  <c r="I209" i="3"/>
  <c r="I210" i="3"/>
  <c r="I211" i="3"/>
  <c r="I212" i="3"/>
  <c r="I213" i="3"/>
  <c r="I214" i="3"/>
  <c r="I215" i="3"/>
  <c r="I216" i="3"/>
  <c r="I217" i="3"/>
  <c r="I218" i="3"/>
  <c r="I219" i="3"/>
  <c r="I220" i="3"/>
  <c r="I221" i="3"/>
  <c r="I222" i="3"/>
  <c r="I223" i="3"/>
  <c r="I224" i="3"/>
  <c r="I225" i="3"/>
  <c r="I226" i="3"/>
  <c r="I247" i="3"/>
  <c r="I248" i="3"/>
  <c r="I249" i="3"/>
  <c r="I250" i="3"/>
  <c r="I251" i="3"/>
  <c r="I257" i="3"/>
  <c r="I258" i="3"/>
  <c r="O107" i="3"/>
  <c r="O106" i="3"/>
  <c r="O105" i="3"/>
  <c r="O104" i="3"/>
  <c r="O103" i="3"/>
  <c r="O102" i="3"/>
  <c r="O101" i="3"/>
  <c r="O100" i="3"/>
  <c r="O94" i="3"/>
  <c r="O92" i="3"/>
  <c r="O91" i="3"/>
  <c r="O78" i="3"/>
  <c r="O82" i="3"/>
  <c r="O80" i="3"/>
  <c r="O83" i="3"/>
  <c r="O77" i="3"/>
  <c r="O81" i="3"/>
  <c r="O79" i="3"/>
  <c r="O35" i="3"/>
  <c r="O33" i="3"/>
  <c r="O32" i="3"/>
  <c r="O31" i="3"/>
  <c r="O30" i="3"/>
  <c r="O29" i="3"/>
  <c r="O65" i="3"/>
  <c r="O62" i="3"/>
  <c r="O61" i="3"/>
  <c r="O60" i="3"/>
  <c r="O58" i="3"/>
  <c r="O57" i="3"/>
  <c r="O22" i="3"/>
  <c r="O25" i="3"/>
  <c r="O24" i="3"/>
  <c r="O21" i="3"/>
  <c r="O19" i="3"/>
  <c r="O18" i="3"/>
  <c r="P288" i="3" l="1"/>
  <c r="Q288" i="3" s="1"/>
  <c r="P287" i="3"/>
  <c r="Q287" i="3" s="1"/>
  <c r="O287" i="3"/>
  <c r="O288" i="3"/>
  <c r="O274" i="3"/>
  <c r="O275" i="3"/>
  <c r="O276" i="3"/>
  <c r="O277" i="3"/>
  <c r="O278" i="3"/>
  <c r="O279" i="3"/>
  <c r="O136" i="3"/>
  <c r="O137" i="3"/>
  <c r="O138" i="3"/>
  <c r="O139" i="3"/>
  <c r="O140" i="3"/>
  <c r="O141" i="3"/>
  <c r="O142" i="3"/>
  <c r="O143" i="3"/>
  <c r="N248" i="8" l="1"/>
  <c r="O248" i="8"/>
  <c r="P248" i="8" a="1"/>
  <c r="P248" i="8" s="1"/>
  <c r="N249" i="8"/>
  <c r="O249" i="8"/>
  <c r="P249" i="8" a="1"/>
  <c r="P249" i="8" s="1"/>
  <c r="N250" i="8"/>
  <c r="O250" i="8"/>
  <c r="P250" i="8" a="1"/>
  <c r="P250" i="8" s="1"/>
  <c r="N251" i="8"/>
  <c r="O251" i="8"/>
  <c r="P251" i="8" a="1"/>
  <c r="P251" i="8" s="1"/>
  <c r="N252" i="8"/>
  <c r="O252" i="8"/>
  <c r="P252" i="8" a="1"/>
  <c r="P252" i="8" s="1"/>
  <c r="N253" i="8"/>
  <c r="O253" i="8"/>
  <c r="P253" i="8" a="1"/>
  <c r="P253" i="8" s="1"/>
  <c r="N254" i="8"/>
  <c r="O254" i="8"/>
  <c r="P254" i="8" a="1"/>
  <c r="P254" i="8" s="1"/>
  <c r="N255" i="8"/>
  <c r="O255" i="8"/>
  <c r="P255" i="8" a="1"/>
  <c r="P255" i="8" s="1"/>
  <c r="H44" i="1" l="1"/>
  <c r="I44" i="1"/>
  <c r="J44" i="1"/>
  <c r="K44" i="1"/>
  <c r="L44" i="1"/>
  <c r="M44" i="1"/>
  <c r="N44" i="1"/>
  <c r="O44" i="1"/>
  <c r="P44" i="1"/>
  <c r="Q44" i="1"/>
  <c r="R44" i="1"/>
  <c r="S44" i="1"/>
  <c r="T44" i="1"/>
  <c r="U44" i="1"/>
  <c r="V44" i="1"/>
  <c r="W44" i="1"/>
  <c r="X44" i="1"/>
  <c r="Y44" i="1"/>
  <c r="Z44" i="1"/>
  <c r="AA44" i="1"/>
  <c r="AB44" i="1"/>
  <c r="AC44" i="1"/>
  <c r="AD44" i="1"/>
  <c r="AE44" i="1"/>
  <c r="AF44" i="1"/>
  <c r="AG44" i="1"/>
  <c r="AH44" i="1"/>
  <c r="AI44" i="1"/>
  <c r="AJ44" i="1"/>
  <c r="AK44" i="1"/>
  <c r="AL44" i="1"/>
  <c r="AM44" i="1"/>
  <c r="AN44" i="1"/>
  <c r="AO44" i="1"/>
  <c r="AP44" i="1"/>
  <c r="G44" i="1"/>
  <c r="AQ44" i="1"/>
  <c r="AR24" i="1"/>
  <c r="AR25" i="1"/>
  <c r="AR26" i="1"/>
  <c r="AR27" i="1"/>
  <c r="U20" i="4"/>
  <c r="U21" i="4"/>
  <c r="U22" i="4"/>
  <c r="U23" i="4"/>
  <c r="O41" i="3"/>
  <c r="O42" i="3"/>
  <c r="O43" i="3"/>
  <c r="O44" i="3"/>
  <c r="O45" i="3"/>
  <c r="O46" i="3"/>
  <c r="O47" i="3"/>
  <c r="O48" i="3"/>
  <c r="O49" i="3"/>
  <c r="O50" i="3"/>
  <c r="O51" i="3"/>
  <c r="O52" i="3"/>
  <c r="H23" i="4" l="1"/>
  <c r="H62" i="4"/>
  <c r="H61" i="4"/>
  <c r="H22" i="4"/>
  <c r="H60" i="4"/>
  <c r="H21" i="4"/>
  <c r="H20" i="4"/>
  <c r="H59" i="4"/>
  <c r="D5" i="14"/>
  <c r="E5" i="14" s="1"/>
  <c r="F5" i="14" s="1"/>
  <c r="G5" i="14" s="1"/>
  <c r="H5" i="14" s="1"/>
  <c r="I5" i="14" s="1"/>
  <c r="J5" i="14" s="1"/>
  <c r="K5" i="14" s="1"/>
  <c r="L5" i="14" s="1"/>
  <c r="M5" i="14" s="1"/>
  <c r="N5" i="14" s="1"/>
  <c r="O5" i="14" s="1"/>
  <c r="P5" i="14" s="1"/>
  <c r="Q5" i="14" s="1"/>
  <c r="R5" i="14" s="1"/>
  <c r="S5" i="14" s="1"/>
  <c r="T5" i="14" s="1"/>
  <c r="U5" i="14" s="1"/>
  <c r="V5" i="14" s="1"/>
  <c r="W5" i="14" s="1"/>
  <c r="X5" i="14" s="1"/>
  <c r="Y5" i="14" s="1"/>
  <c r="Z5" i="14" s="1"/>
  <c r="AA5" i="14" s="1"/>
  <c r="AB5" i="14" s="1"/>
  <c r="AC5" i="14" s="1"/>
  <c r="AD5" i="14" s="1"/>
  <c r="AE5" i="14" s="1"/>
  <c r="AF5" i="14" s="1"/>
  <c r="AG5" i="14" s="1"/>
  <c r="AH5" i="14" s="1"/>
  <c r="AI5" i="14" s="1"/>
  <c r="AJ5" i="14" s="1"/>
  <c r="AK5" i="14" s="1"/>
  <c r="AL5" i="14" s="1"/>
  <c r="AM5" i="14" s="1"/>
  <c r="AN5" i="14" s="1"/>
  <c r="AO5" i="14" s="1"/>
  <c r="AP5" i="14" s="1"/>
  <c r="S4" i="14"/>
  <c r="T4" i="14" s="1"/>
  <c r="U4" i="14" s="1"/>
  <c r="V4" i="14" s="1"/>
  <c r="W4" i="14" s="1"/>
  <c r="X4" i="14" s="1"/>
  <c r="Y4" i="14" s="1"/>
  <c r="Z4" i="14" s="1"/>
  <c r="AA4" i="14" s="1"/>
  <c r="AB4" i="14" s="1"/>
  <c r="AC4" i="14" s="1"/>
  <c r="AD4" i="14" s="1"/>
  <c r="AE4" i="14" s="1"/>
  <c r="AF4" i="14" s="1"/>
  <c r="AG4" i="14" s="1"/>
  <c r="AH4" i="14" s="1"/>
  <c r="AI4" i="14" s="1"/>
  <c r="AJ4" i="14" s="1"/>
  <c r="AK4" i="14" s="1"/>
  <c r="AL4" i="14" s="1"/>
  <c r="AM4" i="14" s="1"/>
  <c r="AN4" i="14" s="1"/>
  <c r="AO4" i="14" s="1"/>
  <c r="AP4" i="14" s="1"/>
  <c r="D4" i="14"/>
  <c r="E4" i="14" s="1"/>
  <c r="O268" i="3"/>
  <c r="O247" i="3"/>
  <c r="O196" i="3"/>
  <c r="O84" i="3"/>
  <c r="O109" i="3"/>
  <c r="O110" i="3"/>
  <c r="O111" i="3"/>
  <c r="O112" i="3"/>
  <c r="O113" i="3"/>
  <c r="O114" i="3"/>
  <c r="O115" i="3"/>
  <c r="O116" i="3"/>
  <c r="O117" i="3"/>
  <c r="O118" i="3"/>
  <c r="O119" i="3"/>
  <c r="O120" i="3"/>
  <c r="O121" i="3"/>
  <c r="O123" i="3"/>
  <c r="O124" i="3"/>
  <c r="O125" i="3"/>
  <c r="O126" i="3"/>
  <c r="O127" i="3"/>
  <c r="O128" i="3"/>
  <c r="O129" i="3"/>
  <c r="O130" i="3"/>
  <c r="O131" i="3"/>
  <c r="O132" i="3"/>
  <c r="O133" i="3"/>
  <c r="O134" i="3"/>
  <c r="O195" i="3"/>
  <c r="O194" i="3"/>
  <c r="O193" i="3"/>
  <c r="O192" i="3"/>
  <c r="O190" i="3"/>
  <c r="O191" i="3"/>
  <c r="O189" i="3"/>
  <c r="O201" i="3"/>
  <c r="O200" i="3"/>
  <c r="O199" i="3"/>
  <c r="O198" i="3"/>
  <c r="O205" i="3"/>
  <c r="O209" i="3"/>
  <c r="O211" i="3"/>
  <c r="O206" i="3"/>
  <c r="O207" i="3"/>
  <c r="O208" i="3"/>
  <c r="O210" i="3"/>
  <c r="O212" i="3"/>
  <c r="O216" i="3"/>
  <c r="O217" i="3"/>
  <c r="O218" i="3"/>
  <c r="O219" i="3"/>
  <c r="O214" i="3"/>
  <c r="O221" i="3"/>
  <c r="O224" i="3"/>
  <c r="O223" i="3"/>
  <c r="O226" i="3"/>
  <c r="O222" i="3"/>
  <c r="O225" i="3"/>
  <c r="O227" i="3"/>
  <c r="O228" i="3"/>
  <c r="O229" i="3"/>
  <c r="O230" i="3"/>
  <c r="O231" i="3"/>
  <c r="O232" i="3"/>
  <c r="O246" i="3"/>
  <c r="O244" i="3"/>
  <c r="O242" i="3"/>
  <c r="O243" i="3"/>
  <c r="O240" i="3"/>
  <c r="O241" i="3"/>
  <c r="O239" i="3"/>
  <c r="O236" i="3"/>
  <c r="O237" i="3"/>
  <c r="O235" i="3"/>
  <c r="O234" i="3"/>
  <c r="O250" i="3"/>
  <c r="O238" i="3"/>
  <c r="O272" i="3"/>
  <c r="O264" i="3"/>
  <c r="O265" i="3"/>
  <c r="O266" i="3"/>
  <c r="O267" i="3"/>
  <c r="O255" i="3"/>
  <c r="O262" i="3"/>
  <c r="O263" i="3"/>
  <c r="O256" i="3"/>
  <c r="O257" i="3"/>
  <c r="O258" i="3"/>
  <c r="O259" i="3"/>
  <c r="O260" i="3"/>
  <c r="O253" i="3"/>
  <c r="O269" i="3"/>
  <c r="E10" i="1" l="1" a="1"/>
  <c r="E10" i="1" s="1"/>
  <c r="U6" i="4" s="1"/>
  <c r="U7" i="4"/>
  <c r="U8" i="4"/>
  <c r="U9" i="4"/>
  <c r="U10" i="4"/>
  <c r="U11" i="4"/>
  <c r="U12" i="4"/>
  <c r="U13" i="4"/>
  <c r="U14" i="4"/>
  <c r="U15" i="4"/>
  <c r="U16" i="4"/>
  <c r="U17" i="4"/>
  <c r="U18" i="4"/>
  <c r="U19" i="4"/>
  <c r="E9" i="1" a="1"/>
  <c r="E9" i="1" s="1"/>
  <c r="U5" i="4" s="1"/>
  <c r="J4" i="8"/>
  <c r="J6" i="8"/>
  <c r="J11" i="8"/>
  <c r="J14" i="8"/>
  <c r="J19" i="8"/>
  <c r="J20" i="8"/>
  <c r="J22" i="8"/>
  <c r="J27" i="8"/>
  <c r="J28" i="8"/>
  <c r="J35" i="8"/>
  <c r="J36" i="8"/>
  <c r="J38" i="8"/>
  <c r="J43" i="8"/>
  <c r="J44" i="8"/>
  <c r="J46" i="8"/>
  <c r="J51" i="8"/>
  <c r="J52" i="8"/>
  <c r="J54" i="8"/>
  <c r="J59" i="8"/>
  <c r="J60" i="8"/>
  <c r="J62" i="8"/>
  <c r="J67" i="8"/>
  <c r="J68" i="8"/>
  <c r="J70" i="8"/>
  <c r="J75" i="8"/>
  <c r="J76" i="8"/>
  <c r="J78" i="8"/>
  <c r="J83" i="8"/>
  <c r="J84" i="8"/>
  <c r="J86" i="8"/>
  <c r="J91" i="8"/>
  <c r="J92" i="8"/>
  <c r="J99" i="8"/>
  <c r="J100" i="8"/>
  <c r="J102" i="8"/>
  <c r="J107" i="8"/>
  <c r="J108" i="8"/>
  <c r="J110" i="8"/>
  <c r="J115" i="8"/>
  <c r="J118" i="8"/>
  <c r="J123" i="8"/>
  <c r="J124" i="8"/>
  <c r="J126" i="8"/>
  <c r="J131" i="8"/>
  <c r="J132" i="8"/>
  <c r="J134" i="8"/>
  <c r="J139" i="8"/>
  <c r="J140" i="8"/>
  <c r="J142" i="8"/>
  <c r="J147" i="8"/>
  <c r="J150" i="8"/>
  <c r="J155" i="8"/>
  <c r="J156" i="8"/>
  <c r="J163" i="8"/>
  <c r="J164" i="8"/>
  <c r="J166" i="8"/>
  <c r="J171" i="8"/>
  <c r="J172" i="8"/>
  <c r="J174" i="8"/>
  <c r="J178" i="8"/>
  <c r="J179" i="8"/>
  <c r="J181" i="8"/>
  <c r="J186" i="8"/>
  <c r="J187" i="8"/>
  <c r="J189" i="8"/>
  <c r="J194" i="8"/>
  <c r="J195" i="8"/>
  <c r="J197" i="8"/>
  <c r="J202" i="8"/>
  <c r="J203" i="8"/>
  <c r="J205" i="8"/>
  <c r="J210" i="8"/>
  <c r="J211" i="8"/>
  <c r="J213" i="8"/>
  <c r="J218" i="8"/>
  <c r="J219" i="8"/>
  <c r="J226" i="8"/>
  <c r="J227" i="8"/>
  <c r="J229" i="8"/>
  <c r="J234" i="8"/>
  <c r="J235" i="8"/>
  <c r="J237" i="8"/>
  <c r="J242" i="8"/>
  <c r="J243" i="8"/>
  <c r="J245" i="8"/>
  <c r="J249" i="8"/>
  <c r="J250" i="8"/>
  <c r="J253" i="8"/>
  <c r="J257" i="8"/>
  <c r="J258" i="8"/>
  <c r="J259" i="8"/>
  <c r="J261" i="8"/>
  <c r="K261" i="8" s="1"/>
  <c r="J266" i="8"/>
  <c r="J3" i="8"/>
  <c r="P121" i="8" a="1"/>
  <c r="P121" i="8" s="1"/>
  <c r="P162" i="8" a="1"/>
  <c r="P162" i="8" s="1"/>
  <c r="P127" i="8" a="1"/>
  <c r="P127" i="8" s="1"/>
  <c r="P151" i="8" a="1"/>
  <c r="P151" i="8" s="1"/>
  <c r="P142" i="8" a="1"/>
  <c r="P142" i="8" s="1"/>
  <c r="P144" i="8" a="1"/>
  <c r="P144" i="8" s="1"/>
  <c r="P140" i="8" a="1"/>
  <c r="P140" i="8" s="1"/>
  <c r="P139" i="8" a="1"/>
  <c r="P139" i="8" s="1"/>
  <c r="P141" i="8" a="1"/>
  <c r="P141" i="8" s="1"/>
  <c r="P122" i="8" a="1"/>
  <c r="P122" i="8" s="1"/>
  <c r="P137" i="8" a="1"/>
  <c r="P137" i="8" s="1"/>
  <c r="P160" i="8" a="1"/>
  <c r="P160" i="8" s="1"/>
  <c r="P47" i="8" a="1"/>
  <c r="P47" i="8" s="1"/>
  <c r="P64" i="8" a="1"/>
  <c r="P64" i="8" s="1"/>
  <c r="P60" i="8" a="1"/>
  <c r="P60" i="8" s="1"/>
  <c r="P46" i="8" a="1"/>
  <c r="P46" i="8" s="1"/>
  <c r="P48" i="8" a="1"/>
  <c r="P48" i="8" s="1"/>
  <c r="P61" i="8" a="1"/>
  <c r="P61" i="8" s="1"/>
  <c r="P59" i="8" a="1"/>
  <c r="P59" i="8" s="1"/>
  <c r="P56" i="8" a="1"/>
  <c r="P56" i="8" s="1"/>
  <c r="P50" i="8" a="1"/>
  <c r="P50" i="8" s="1"/>
  <c r="P57" i="8" a="1"/>
  <c r="P57" i="8" s="1"/>
  <c r="P52" i="8" a="1"/>
  <c r="P52" i="8" s="1"/>
  <c r="P49" i="8" a="1"/>
  <c r="P49" i="8" s="1"/>
  <c r="P90" i="8" a="1"/>
  <c r="P90" i="8" s="1"/>
  <c r="P115" i="8" a="1"/>
  <c r="P115" i="8" s="1"/>
  <c r="P112" i="8" a="1"/>
  <c r="P112" i="8" s="1"/>
  <c r="P85" i="8" a="1"/>
  <c r="P85" i="8" s="1"/>
  <c r="P117" i="8" a="1"/>
  <c r="P117" i="8" s="1"/>
  <c r="P110" i="8" a="1"/>
  <c r="P110" i="8" s="1"/>
  <c r="P113" i="8" a="1"/>
  <c r="P113" i="8" s="1"/>
  <c r="P93" i="8" a="1"/>
  <c r="P93" i="8" s="1"/>
  <c r="P96" i="8" a="1"/>
  <c r="P96" i="8" s="1"/>
  <c r="P86" i="8" a="1"/>
  <c r="P86" i="8" s="1"/>
  <c r="P105" i="8" a="1"/>
  <c r="P105" i="8" s="1"/>
  <c r="P104" i="8" a="1"/>
  <c r="P104" i="8" s="1"/>
  <c r="P87" i="8" a="1"/>
  <c r="P87" i="8" s="1"/>
  <c r="P114" i="8" a="1"/>
  <c r="P114" i="8" s="1"/>
  <c r="P92" i="8" a="1"/>
  <c r="P92" i="8" s="1"/>
  <c r="P103" i="8" a="1"/>
  <c r="P103" i="8" s="1"/>
  <c r="P102" i="8" a="1"/>
  <c r="P102" i="8" s="1"/>
  <c r="P91" i="8" a="1"/>
  <c r="P91" i="8" s="1"/>
  <c r="P89" i="8" a="1"/>
  <c r="P89" i="8" s="1"/>
  <c r="P88" i="8" a="1"/>
  <c r="P88" i="8" s="1"/>
  <c r="P109" i="8" a="1"/>
  <c r="P109" i="8" s="1"/>
  <c r="P94" i="8" a="1"/>
  <c r="P94" i="8" s="1"/>
  <c r="P95" i="8" a="1"/>
  <c r="P95" i="8" s="1"/>
  <c r="P100" i="8" a="1"/>
  <c r="P100" i="8" s="1"/>
  <c r="P111" i="8" a="1"/>
  <c r="P111" i="8" s="1"/>
  <c r="P118" i="8" a="1"/>
  <c r="P118" i="8" s="1"/>
  <c r="P147" i="8" a="1"/>
  <c r="P147" i="8" s="1"/>
  <c r="P150" i="8" a="1"/>
  <c r="P150" i="8" s="1"/>
  <c r="P157" i="8" a="1"/>
  <c r="P157" i="8" s="1"/>
  <c r="P126" i="8" a="1"/>
  <c r="P126" i="8" s="1"/>
  <c r="P125" i="8" a="1"/>
  <c r="P125" i="8" s="1"/>
  <c r="P132" i="8" a="1"/>
  <c r="P132" i="8" s="1"/>
  <c r="P146" i="8" a="1"/>
  <c r="P146" i="8" s="1"/>
  <c r="P138" i="8" a="1"/>
  <c r="P138" i="8" s="1"/>
  <c r="P165" i="8" a="1"/>
  <c r="P165" i="8" s="1"/>
  <c r="P166" i="8" a="1"/>
  <c r="P166" i="8" s="1"/>
  <c r="P167" i="8" a="1"/>
  <c r="P167" i="8" s="1"/>
  <c r="P174" i="8" a="1"/>
  <c r="P174" i="8" s="1"/>
  <c r="P172" i="8" a="1"/>
  <c r="P172" i="8" s="1"/>
  <c r="P173" i="8" a="1"/>
  <c r="P173" i="8" s="1"/>
  <c r="P184" i="8" a="1"/>
  <c r="P184" i="8" s="1"/>
  <c r="P186" i="8" a="1"/>
  <c r="P186" i="8" s="1"/>
  <c r="P182" i="8" a="1"/>
  <c r="P182" i="8" s="1"/>
  <c r="P187" i="8" a="1"/>
  <c r="P187" i="8" s="1"/>
  <c r="P183" i="8" a="1"/>
  <c r="P183" i="8" s="1"/>
  <c r="P185" i="8" a="1"/>
  <c r="P185" i="8" s="1"/>
  <c r="P26" i="8" a="1"/>
  <c r="P26" i="8" s="1"/>
  <c r="P23" i="8" a="1"/>
  <c r="P23" i="8" s="1"/>
  <c r="P21" i="8" a="1"/>
  <c r="P21" i="8" s="1"/>
  <c r="P22" i="8" a="1"/>
  <c r="P22" i="8" s="1"/>
  <c r="P20" i="8" a="1"/>
  <c r="P20" i="8" s="1"/>
  <c r="P25" i="8" a="1"/>
  <c r="P25" i="8" s="1"/>
  <c r="P27" i="8" a="1"/>
  <c r="P27" i="8" s="1"/>
  <c r="P24" i="8" a="1"/>
  <c r="P24" i="8" s="1"/>
  <c r="P34" i="8" a="1"/>
  <c r="P34" i="8" s="1"/>
  <c r="P35" i="8" a="1"/>
  <c r="P35" i="8" s="1"/>
  <c r="P36" i="8" a="1"/>
  <c r="P36" i="8" s="1"/>
  <c r="P40" i="8" a="1"/>
  <c r="P40" i="8" s="1"/>
  <c r="P31" i="8" a="1"/>
  <c r="P31" i="8" s="1"/>
  <c r="P42" i="8" a="1"/>
  <c r="P42" i="8" s="1"/>
  <c r="P29" i="8" a="1"/>
  <c r="P29" i="8" s="1"/>
  <c r="P37" i="8" a="1"/>
  <c r="P37" i="8" s="1"/>
  <c r="P39" i="8" a="1"/>
  <c r="P39" i="8" s="1"/>
  <c r="P38" i="8" a="1"/>
  <c r="P38" i="8" s="1"/>
  <c r="P28" i="8" a="1"/>
  <c r="P28" i="8" s="1"/>
  <c r="P33" i="8" a="1"/>
  <c r="P33" i="8" s="1"/>
  <c r="P41" i="8" a="1"/>
  <c r="P41" i="8" s="1"/>
  <c r="P30" i="8" a="1"/>
  <c r="P30" i="8" s="1"/>
  <c r="P32" i="8" a="1"/>
  <c r="P32" i="8" s="1"/>
  <c r="P44" i="8" a="1"/>
  <c r="P44" i="8" s="1"/>
  <c r="P45" i="8" a="1"/>
  <c r="P45" i="8" s="1"/>
  <c r="P43" i="8" a="1"/>
  <c r="P43" i="8" s="1"/>
  <c r="P153" i="8" a="1"/>
  <c r="P153" i="8" s="1"/>
  <c r="P128" i="8" a="1"/>
  <c r="P128" i="8" s="1"/>
  <c r="P134" i="8" a="1"/>
  <c r="P134" i="8" s="1"/>
  <c r="P129" i="8" a="1"/>
  <c r="P129" i="8" s="1"/>
  <c r="P136" i="8" a="1"/>
  <c r="P136" i="8" s="1"/>
  <c r="P149" i="8" a="1"/>
  <c r="P149" i="8" s="1"/>
  <c r="P131" i="8" a="1"/>
  <c r="P131" i="8" s="1"/>
  <c r="P135" i="8" a="1"/>
  <c r="P135" i="8" s="1"/>
  <c r="P154" i="8" a="1"/>
  <c r="P154" i="8" s="1"/>
  <c r="P152" i="8" a="1"/>
  <c r="P152" i="8" s="1"/>
  <c r="P148" i="8" a="1"/>
  <c r="P148" i="8" s="1"/>
  <c r="P194" i="8" a="1"/>
  <c r="P194" i="8" s="1"/>
  <c r="P190" i="8" a="1"/>
  <c r="P190" i="8" s="1"/>
  <c r="P191" i="8" a="1"/>
  <c r="P191" i="8" s="1"/>
  <c r="P192" i="8" a="1"/>
  <c r="P192" i="8" s="1"/>
  <c r="P188" i="8" a="1"/>
  <c r="P188" i="8" s="1"/>
  <c r="P189" i="8" a="1"/>
  <c r="P189" i="8" s="1"/>
  <c r="P193" i="8" a="1"/>
  <c r="P193" i="8" s="1"/>
  <c r="P227" i="8" a="1"/>
  <c r="P227" i="8" s="1"/>
  <c r="P200" i="8" a="1"/>
  <c r="P200" i="8" s="1"/>
  <c r="P198" i="8" a="1"/>
  <c r="P198" i="8" s="1"/>
  <c r="P201" i="8" a="1"/>
  <c r="P201" i="8" s="1"/>
  <c r="P246" i="8" a="1"/>
  <c r="P246" i="8" s="1"/>
  <c r="P214" i="8" a="1"/>
  <c r="P214" i="8" s="1"/>
  <c r="P203" i="8" a="1"/>
  <c r="P203" i="8" s="1"/>
  <c r="P204" i="8" a="1"/>
  <c r="P204" i="8" s="1"/>
  <c r="P219" i="8" a="1"/>
  <c r="P219" i="8" s="1"/>
  <c r="P220" i="8" a="1"/>
  <c r="P220" i="8" s="1"/>
  <c r="P205" i="8" a="1"/>
  <c r="P205" i="8" s="1"/>
  <c r="P206" i="8" a="1"/>
  <c r="P206" i="8" s="1"/>
  <c r="P207" i="8" a="1"/>
  <c r="P207" i="8" s="1"/>
  <c r="P208" i="8" a="1"/>
  <c r="P208" i="8" s="1"/>
  <c r="P209" i="8" a="1"/>
  <c r="P209" i="8" s="1"/>
  <c r="P232" i="8" a="1"/>
  <c r="P232" i="8" s="1"/>
  <c r="P241" i="8" a="1"/>
  <c r="P241" i="8" s="1"/>
  <c r="P247" i="8" a="1"/>
  <c r="P247" i="8" s="1"/>
  <c r="P215" i="8" a="1"/>
  <c r="P215" i="8" s="1"/>
  <c r="P238" i="8" a="1"/>
  <c r="P238" i="8" s="1"/>
  <c r="P199" i="8" a="1"/>
  <c r="P199" i="8" s="1"/>
  <c r="P212" i="8" a="1"/>
  <c r="P212" i="8" s="1"/>
  <c r="P224" i="8" a="1"/>
  <c r="P224" i="8" s="1"/>
  <c r="P213" i="8" a="1"/>
  <c r="P213" i="8" s="1"/>
  <c r="P225" i="8" a="1"/>
  <c r="P225" i="8" s="1"/>
  <c r="P243" i="8" a="1"/>
  <c r="P243" i="8" s="1"/>
  <c r="P202" i="8" a="1"/>
  <c r="P202" i="8" s="1"/>
  <c r="P211" i="8" a="1"/>
  <c r="P211" i="8" s="1"/>
  <c r="P210" i="8" a="1"/>
  <c r="P210" i="8" s="1"/>
  <c r="P237" i="8" a="1"/>
  <c r="P237" i="8" s="1"/>
  <c r="P222" i="8" a="1"/>
  <c r="P222" i="8" s="1"/>
  <c r="P223" i="8" a="1"/>
  <c r="P223" i="8" s="1"/>
  <c r="P230" i="8" a="1"/>
  <c r="P230" i="8" s="1"/>
  <c r="P216" i="8" a="1"/>
  <c r="P216" i="8" s="1"/>
  <c r="P233" i="8" a="1"/>
  <c r="P233" i="8" s="1"/>
  <c r="P221" i="8" a="1"/>
  <c r="P221" i="8" s="1"/>
  <c r="P239" i="8" a="1"/>
  <c r="P239" i="8" s="1"/>
  <c r="P217" i="8" a="1"/>
  <c r="P217" i="8" s="1"/>
  <c r="P244" i="8" a="1"/>
  <c r="P244" i="8" s="1"/>
  <c r="P234" i="8" a="1"/>
  <c r="P234" i="8" s="1"/>
  <c r="P229" i="8" a="1"/>
  <c r="P229" i="8" s="1"/>
  <c r="P226" i="8" a="1"/>
  <c r="P226" i="8" s="1"/>
  <c r="P197" i="8" a="1"/>
  <c r="P197" i="8" s="1"/>
  <c r="P231" i="8" a="1"/>
  <c r="P231" i="8" s="1"/>
  <c r="P195" i="8" a="1"/>
  <c r="P195" i="8" s="1"/>
  <c r="P236" i="8" a="1"/>
  <c r="P236" i="8" s="1"/>
  <c r="P240" i="8" a="1"/>
  <c r="P240" i="8" s="1"/>
  <c r="P245" i="8" a="1"/>
  <c r="P245" i="8" s="1"/>
  <c r="P196" i="8" a="1"/>
  <c r="P196" i="8" s="1"/>
  <c r="P242" i="8" a="1"/>
  <c r="P242" i="8" s="1"/>
  <c r="P218" i="8" a="1"/>
  <c r="P218" i="8" s="1"/>
  <c r="P235" i="8" a="1"/>
  <c r="P235" i="8" s="1"/>
  <c r="P228" i="8" a="1"/>
  <c r="P228" i="8" s="1"/>
  <c r="P4" i="8" a="1"/>
  <c r="P4" i="8" s="1"/>
  <c r="P3" i="8" a="1"/>
  <c r="P3" i="8" s="1"/>
  <c r="P5" i="8" a="1"/>
  <c r="P5" i="8" s="1"/>
  <c r="P6" i="8" a="1"/>
  <c r="P6" i="8" s="1"/>
  <c r="P7" i="8" a="1"/>
  <c r="P7" i="8" s="1"/>
  <c r="P16" i="8" a="1"/>
  <c r="P16" i="8" s="1"/>
  <c r="P9" i="8" a="1"/>
  <c r="P9" i="8" s="1"/>
  <c r="P8" i="8" a="1"/>
  <c r="P8" i="8" s="1"/>
  <c r="P14" i="8" a="1"/>
  <c r="P14" i="8" s="1"/>
  <c r="P12" i="8" a="1"/>
  <c r="P12" i="8" s="1"/>
  <c r="P10" i="8" a="1"/>
  <c r="P10" i="8" s="1"/>
  <c r="P19" i="8" a="1"/>
  <c r="P19" i="8" s="1"/>
  <c r="P15" i="8" a="1"/>
  <c r="P15" i="8" s="1"/>
  <c r="P17" i="8" a="1"/>
  <c r="P17" i="8" s="1"/>
  <c r="P18" i="8" a="1"/>
  <c r="P18" i="8" s="1"/>
  <c r="P11" i="8" a="1"/>
  <c r="P11" i="8" s="1"/>
  <c r="P13" i="8" a="1"/>
  <c r="P13" i="8" s="1"/>
  <c r="P62" i="8" a="1"/>
  <c r="P62" i="8" s="1"/>
  <c r="P63" i="8" a="1"/>
  <c r="P63" i="8" s="1"/>
  <c r="P58" i="8" a="1"/>
  <c r="P58" i="8" s="1"/>
  <c r="P51" i="8" a="1"/>
  <c r="P51" i="8" s="1"/>
  <c r="P55" i="8" a="1"/>
  <c r="P55" i="8" s="1"/>
  <c r="P54" i="8" a="1"/>
  <c r="P54" i="8" s="1"/>
  <c r="P53" i="8" a="1"/>
  <c r="P53" i="8" s="1"/>
  <c r="P116" i="8" a="1"/>
  <c r="P116" i="8" s="1"/>
  <c r="P101" i="8" a="1"/>
  <c r="P101" i="8" s="1"/>
  <c r="P98" i="8" a="1"/>
  <c r="P98" i="8" s="1"/>
  <c r="P106" i="8" a="1"/>
  <c r="P106" i="8" s="1"/>
  <c r="P99" i="8" a="1"/>
  <c r="P99" i="8" s="1"/>
  <c r="P97" i="8" a="1"/>
  <c r="P97" i="8" s="1"/>
  <c r="P107" i="8" a="1"/>
  <c r="P107" i="8" s="1"/>
  <c r="P108" i="8" a="1"/>
  <c r="P108" i="8" s="1"/>
  <c r="P119" i="8" a="1"/>
  <c r="P119" i="8" s="1"/>
  <c r="P155" i="8" a="1"/>
  <c r="P155" i="8" s="1"/>
  <c r="P120" i="8" a="1"/>
  <c r="P120" i="8" s="1"/>
  <c r="P123" i="8" a="1"/>
  <c r="P123" i="8" s="1"/>
  <c r="P156" i="8" a="1"/>
  <c r="P156" i="8" s="1"/>
  <c r="P163" i="8" a="1"/>
  <c r="P163" i="8" s="1"/>
  <c r="P124" i="8" a="1"/>
  <c r="P124" i="8" s="1"/>
  <c r="P164" i="8" a="1"/>
  <c r="P164" i="8" s="1"/>
  <c r="P158" i="8" a="1"/>
  <c r="P158" i="8" s="1"/>
  <c r="P159" i="8" a="1"/>
  <c r="P159" i="8" s="1"/>
  <c r="P145" i="8" a="1"/>
  <c r="P145" i="8" s="1"/>
  <c r="P161" i="8" a="1"/>
  <c r="P161" i="8" s="1"/>
  <c r="P169" i="8" a="1"/>
  <c r="P169" i="8" s="1"/>
  <c r="P170" i="8" a="1"/>
  <c r="P170" i="8" s="1"/>
  <c r="P171" i="8" a="1"/>
  <c r="P171" i="8" s="1"/>
  <c r="P168" i="8" a="1"/>
  <c r="P168" i="8" s="1"/>
  <c r="P181" i="8" a="1"/>
  <c r="P181" i="8" s="1"/>
  <c r="P178" i="8" a="1"/>
  <c r="P178" i="8" s="1"/>
  <c r="P180" i="8" a="1"/>
  <c r="P180" i="8" s="1"/>
  <c r="P179" i="8" a="1"/>
  <c r="P179" i="8" s="1"/>
  <c r="P177" i="8" a="1"/>
  <c r="P177" i="8" s="1"/>
  <c r="P175" i="8" a="1"/>
  <c r="P175" i="8" s="1"/>
  <c r="P176" i="8" a="1"/>
  <c r="P176" i="8" s="1"/>
  <c r="P82" i="8" a="1"/>
  <c r="P82" i="8" s="1"/>
  <c r="P65" i="8" a="1"/>
  <c r="P65" i="8" s="1"/>
  <c r="P66" i="8" a="1"/>
  <c r="P66" i="8" s="1"/>
  <c r="P81" i="8" a="1"/>
  <c r="P81" i="8" s="1"/>
  <c r="P67" i="8" a="1"/>
  <c r="P67" i="8" s="1"/>
  <c r="P68" i="8" a="1"/>
  <c r="P68" i="8" s="1"/>
  <c r="P69" i="8" a="1"/>
  <c r="P69" i="8" s="1"/>
  <c r="P79" i="8" a="1"/>
  <c r="P79" i="8" s="1"/>
  <c r="P84" i="8" a="1"/>
  <c r="P84" i="8" s="1"/>
  <c r="P71" i="8" a="1"/>
  <c r="P71" i="8" s="1"/>
  <c r="P72" i="8" a="1"/>
  <c r="P72" i="8" s="1"/>
  <c r="P74" i="8" a="1"/>
  <c r="P74" i="8" s="1"/>
  <c r="P77" i="8" a="1"/>
  <c r="P77" i="8" s="1"/>
  <c r="P83" i="8" a="1"/>
  <c r="P83" i="8" s="1"/>
  <c r="P75" i="8" a="1"/>
  <c r="P75" i="8" s="1"/>
  <c r="P78" i="8" a="1"/>
  <c r="P78" i="8" s="1"/>
  <c r="P80" i="8" a="1"/>
  <c r="P80" i="8" s="1"/>
  <c r="P73" i="8" a="1"/>
  <c r="P73" i="8" s="1"/>
  <c r="P76" i="8" a="1"/>
  <c r="P76" i="8" s="1"/>
  <c r="P133" i="8" a="1"/>
  <c r="P133" i="8" s="1"/>
  <c r="P130" i="8" a="1"/>
  <c r="P130" i="8" s="1"/>
  <c r="P143" i="8" a="1"/>
  <c r="P143" i="8" s="1"/>
  <c r="P70" i="8" a="1"/>
  <c r="P70" i="8" s="1"/>
  <c r="J5" i="8"/>
  <c r="J7" i="8"/>
  <c r="J8" i="8"/>
  <c r="J9" i="8"/>
  <c r="J10" i="8"/>
  <c r="J12" i="8"/>
  <c r="J13" i="8"/>
  <c r="J15" i="8"/>
  <c r="J16" i="8"/>
  <c r="J17" i="8"/>
  <c r="J18" i="8"/>
  <c r="J21" i="8"/>
  <c r="J23" i="8"/>
  <c r="J24" i="8"/>
  <c r="J25" i="8"/>
  <c r="J26" i="8"/>
  <c r="J29" i="8"/>
  <c r="J30" i="8"/>
  <c r="J31" i="8"/>
  <c r="J32" i="8"/>
  <c r="J33" i="8"/>
  <c r="J34" i="8"/>
  <c r="J37" i="8"/>
  <c r="J39" i="8"/>
  <c r="J40" i="8"/>
  <c r="J41" i="8"/>
  <c r="J42" i="8"/>
  <c r="J45" i="8"/>
  <c r="J47" i="8"/>
  <c r="J48" i="8"/>
  <c r="J49" i="8"/>
  <c r="J50" i="8"/>
  <c r="J53" i="8"/>
  <c r="J55" i="8"/>
  <c r="J56" i="8"/>
  <c r="J57" i="8"/>
  <c r="J58" i="8"/>
  <c r="J61" i="8"/>
  <c r="J63" i="8"/>
  <c r="J64" i="8"/>
  <c r="J65" i="8"/>
  <c r="J66" i="8"/>
  <c r="J69" i="8"/>
  <c r="J71" i="8"/>
  <c r="J72" i="8"/>
  <c r="J73" i="8"/>
  <c r="J74" i="8"/>
  <c r="J77" i="8"/>
  <c r="J79" i="8"/>
  <c r="J80" i="8"/>
  <c r="J81" i="8"/>
  <c r="J82" i="8"/>
  <c r="J85" i="8"/>
  <c r="J87" i="8"/>
  <c r="J88" i="8"/>
  <c r="J89" i="8"/>
  <c r="J90" i="8"/>
  <c r="J93" i="8"/>
  <c r="J94" i="8"/>
  <c r="J95" i="8"/>
  <c r="J96" i="8"/>
  <c r="J97" i="8"/>
  <c r="J98" i="8"/>
  <c r="J101" i="8"/>
  <c r="J103" i="8"/>
  <c r="J104" i="8"/>
  <c r="J105" i="8"/>
  <c r="J106" i="8"/>
  <c r="J109" i="8"/>
  <c r="J111" i="8"/>
  <c r="J112" i="8"/>
  <c r="J113" i="8"/>
  <c r="J114" i="8"/>
  <c r="J116" i="8"/>
  <c r="J117" i="8"/>
  <c r="J119" i="8"/>
  <c r="J120" i="8"/>
  <c r="J121" i="8"/>
  <c r="J122" i="8"/>
  <c r="J125" i="8"/>
  <c r="J127" i="8"/>
  <c r="J128" i="8"/>
  <c r="J129" i="8"/>
  <c r="J130" i="8"/>
  <c r="J133" i="8"/>
  <c r="J135" i="8"/>
  <c r="J136" i="8"/>
  <c r="J137" i="8"/>
  <c r="J138" i="8"/>
  <c r="J141" i="8"/>
  <c r="J143" i="8"/>
  <c r="J144" i="8"/>
  <c r="J145" i="8"/>
  <c r="J146" i="8"/>
  <c r="J148" i="8"/>
  <c r="J149" i="8"/>
  <c r="J151" i="8"/>
  <c r="J152" i="8"/>
  <c r="J153" i="8"/>
  <c r="J154" i="8"/>
  <c r="J157" i="8"/>
  <c r="J158" i="8"/>
  <c r="J159" i="8"/>
  <c r="J160" i="8"/>
  <c r="J161" i="8"/>
  <c r="J162" i="8"/>
  <c r="J165" i="8"/>
  <c r="J167" i="8"/>
  <c r="J168" i="8"/>
  <c r="J169" i="8"/>
  <c r="J170" i="8"/>
  <c r="J173" i="8"/>
  <c r="J175" i="8"/>
  <c r="J176" i="8"/>
  <c r="J177" i="8"/>
  <c r="J180" i="8"/>
  <c r="J182" i="8"/>
  <c r="J183" i="8"/>
  <c r="J184" i="8"/>
  <c r="J185" i="8"/>
  <c r="J188" i="8"/>
  <c r="J190" i="8"/>
  <c r="J191" i="8"/>
  <c r="J192" i="8"/>
  <c r="J193" i="8"/>
  <c r="J196" i="8"/>
  <c r="J198" i="8"/>
  <c r="J199" i="8"/>
  <c r="J200" i="8"/>
  <c r="J201" i="8"/>
  <c r="J204" i="8"/>
  <c r="J206" i="8"/>
  <c r="J207" i="8"/>
  <c r="J208" i="8"/>
  <c r="J209" i="8"/>
  <c r="J212" i="8"/>
  <c r="J214" i="8"/>
  <c r="J215" i="8"/>
  <c r="J216" i="8"/>
  <c r="J217" i="8"/>
  <c r="J220" i="8"/>
  <c r="J221" i="8"/>
  <c r="J222" i="8"/>
  <c r="J223" i="8"/>
  <c r="J224" i="8"/>
  <c r="J225" i="8"/>
  <c r="J228" i="8"/>
  <c r="J230" i="8"/>
  <c r="J231" i="8"/>
  <c r="J232" i="8"/>
  <c r="J233" i="8"/>
  <c r="J236" i="8"/>
  <c r="J238" i="8"/>
  <c r="J239" i="8"/>
  <c r="J240" i="8"/>
  <c r="J241" i="8"/>
  <c r="J244" i="8"/>
  <c r="J246" i="8"/>
  <c r="J247" i="8"/>
  <c r="J248" i="8"/>
  <c r="J251" i="8"/>
  <c r="J252" i="8"/>
  <c r="J254" i="8"/>
  <c r="J255" i="8"/>
  <c r="J256" i="8"/>
  <c r="J260" i="8"/>
  <c r="J262" i="8"/>
  <c r="J263" i="8"/>
  <c r="K263" i="8" s="1"/>
  <c r="J264" i="8"/>
  <c r="J265" i="8"/>
  <c r="K265" i="8" s="1"/>
  <c r="J267" i="8"/>
  <c r="K267" i="8" s="1"/>
  <c r="K262" i="8" l="1"/>
  <c r="U3" i="8" a="1"/>
  <c r="U3" i="8" s="1"/>
  <c r="M259" i="8"/>
  <c r="K264" i="8"/>
  <c r="K266" i="8"/>
  <c r="M265" i="8"/>
  <c r="M257" i="8"/>
  <c r="M267" i="8"/>
  <c r="M264" i="8"/>
  <c r="M260" i="8"/>
  <c r="M263" i="8"/>
  <c r="F45" i="4"/>
  <c r="F46" i="4"/>
  <c r="G46" i="4"/>
  <c r="F47" i="4"/>
  <c r="F48" i="4"/>
  <c r="G48" i="4"/>
  <c r="F49" i="4"/>
  <c r="G49" i="4"/>
  <c r="F50" i="4"/>
  <c r="G50" i="4"/>
  <c r="F51" i="4"/>
  <c r="G51" i="4"/>
  <c r="F52" i="4"/>
  <c r="G52" i="4"/>
  <c r="F53" i="4"/>
  <c r="G53" i="4"/>
  <c r="F54" i="4"/>
  <c r="G54" i="4"/>
  <c r="F55" i="4"/>
  <c r="G55" i="4"/>
  <c r="F56" i="4"/>
  <c r="G56" i="4"/>
  <c r="F57" i="4"/>
  <c r="G57" i="4"/>
  <c r="F44" i="4"/>
  <c r="N82" i="8"/>
  <c r="N65" i="8"/>
  <c r="N66" i="8"/>
  <c r="N81" i="8"/>
  <c r="N67" i="8"/>
  <c r="N68" i="8"/>
  <c r="N69" i="8"/>
  <c r="N79" i="8"/>
  <c r="N84" i="8"/>
  <c r="N71" i="8"/>
  <c r="N72" i="8"/>
  <c r="N74" i="8"/>
  <c r="N77" i="8"/>
  <c r="N83" i="8"/>
  <c r="N75" i="8"/>
  <c r="N78" i="8"/>
  <c r="N80" i="8"/>
  <c r="N73" i="8"/>
  <c r="N76" i="8"/>
  <c r="N133" i="8"/>
  <c r="N130" i="8"/>
  <c r="N143" i="8"/>
  <c r="N169" i="8"/>
  <c r="N170" i="8"/>
  <c r="N171" i="8"/>
  <c r="N168" i="8"/>
  <c r="N181" i="8"/>
  <c r="N178" i="8"/>
  <c r="N180" i="8"/>
  <c r="N179" i="8"/>
  <c r="N177" i="8"/>
  <c r="N175" i="8"/>
  <c r="N176" i="8"/>
  <c r="N4" i="8"/>
  <c r="N3" i="8"/>
  <c r="N5" i="8"/>
  <c r="N6" i="8"/>
  <c r="N7" i="8"/>
  <c r="N16" i="8"/>
  <c r="N9" i="8"/>
  <c r="N8" i="8"/>
  <c r="N14" i="8"/>
  <c r="N12" i="8"/>
  <c r="N10" i="8"/>
  <c r="N19" i="8"/>
  <c r="N15" i="8"/>
  <c r="N17" i="8"/>
  <c r="N18" i="8"/>
  <c r="N11" i="8"/>
  <c r="N13" i="8"/>
  <c r="N62" i="8"/>
  <c r="N63" i="8"/>
  <c r="N58" i="8"/>
  <c r="N51" i="8"/>
  <c r="N55" i="8"/>
  <c r="N54" i="8"/>
  <c r="N53" i="8"/>
  <c r="N116" i="8"/>
  <c r="N101" i="8"/>
  <c r="N98" i="8"/>
  <c r="N106" i="8"/>
  <c r="N99" i="8"/>
  <c r="N97" i="8"/>
  <c r="N107" i="8"/>
  <c r="N108" i="8"/>
  <c r="N119" i="8"/>
  <c r="N155" i="8"/>
  <c r="N120" i="8"/>
  <c r="N123" i="8"/>
  <c r="N156" i="8"/>
  <c r="N163" i="8"/>
  <c r="N124" i="8"/>
  <c r="N164" i="8"/>
  <c r="N158" i="8"/>
  <c r="N159" i="8"/>
  <c r="N145" i="8"/>
  <c r="N161" i="8"/>
  <c r="N121" i="8"/>
  <c r="N162" i="8"/>
  <c r="N127" i="8"/>
  <c r="N151" i="8"/>
  <c r="N142" i="8"/>
  <c r="N144" i="8"/>
  <c r="N140" i="8"/>
  <c r="N139" i="8"/>
  <c r="N141" i="8"/>
  <c r="N122" i="8"/>
  <c r="N137" i="8"/>
  <c r="N160" i="8"/>
  <c r="N47" i="8"/>
  <c r="N64" i="8"/>
  <c r="N60" i="8"/>
  <c r="N46" i="8"/>
  <c r="N48" i="8"/>
  <c r="N61" i="8"/>
  <c r="N59" i="8"/>
  <c r="N56" i="8"/>
  <c r="N50" i="8"/>
  <c r="N57" i="8"/>
  <c r="N52" i="8"/>
  <c r="N49" i="8"/>
  <c r="N90" i="8"/>
  <c r="N115" i="8"/>
  <c r="N112" i="8"/>
  <c r="N85" i="8"/>
  <c r="N117" i="8"/>
  <c r="N110" i="8"/>
  <c r="N113" i="8"/>
  <c r="N93" i="8"/>
  <c r="N96" i="8"/>
  <c r="N86" i="8"/>
  <c r="N105" i="8"/>
  <c r="N104" i="8"/>
  <c r="N87" i="8"/>
  <c r="N114" i="8"/>
  <c r="N92" i="8"/>
  <c r="N103" i="8"/>
  <c r="N102" i="8"/>
  <c r="N91" i="8"/>
  <c r="N89" i="8"/>
  <c r="N88" i="8"/>
  <c r="N109" i="8"/>
  <c r="N94" i="8"/>
  <c r="N95" i="8"/>
  <c r="N100" i="8"/>
  <c r="N111" i="8"/>
  <c r="N118" i="8"/>
  <c r="N147" i="8"/>
  <c r="N150" i="8"/>
  <c r="N157" i="8"/>
  <c r="N126" i="8"/>
  <c r="N125" i="8"/>
  <c r="N132" i="8"/>
  <c r="N146" i="8"/>
  <c r="N138" i="8"/>
  <c r="N165" i="8"/>
  <c r="N166" i="8"/>
  <c r="N167" i="8"/>
  <c r="N174" i="8"/>
  <c r="N172" i="8"/>
  <c r="N173" i="8"/>
  <c r="N184" i="8"/>
  <c r="N186" i="8"/>
  <c r="N182" i="8"/>
  <c r="N187" i="8"/>
  <c r="N183" i="8"/>
  <c r="N185" i="8"/>
  <c r="N26" i="8"/>
  <c r="N23" i="8"/>
  <c r="N21" i="8"/>
  <c r="N22" i="8"/>
  <c r="N20" i="8"/>
  <c r="N25" i="8"/>
  <c r="N27" i="8"/>
  <c r="N24" i="8"/>
  <c r="N34" i="8"/>
  <c r="N35" i="8"/>
  <c r="N36" i="8"/>
  <c r="N40" i="8"/>
  <c r="N31" i="8"/>
  <c r="N42" i="8"/>
  <c r="N29" i="8"/>
  <c r="N37" i="8"/>
  <c r="N39" i="8"/>
  <c r="N38" i="8"/>
  <c r="N28" i="8"/>
  <c r="N33" i="8"/>
  <c r="N41" i="8"/>
  <c r="N30" i="8"/>
  <c r="N32" i="8"/>
  <c r="N44" i="8"/>
  <c r="N45" i="8"/>
  <c r="N43" i="8"/>
  <c r="N153" i="8"/>
  <c r="N128" i="8"/>
  <c r="N134" i="8"/>
  <c r="N129" i="8"/>
  <c r="N136" i="8"/>
  <c r="N149" i="8"/>
  <c r="N131" i="8"/>
  <c r="N135" i="8"/>
  <c r="N154" i="8"/>
  <c r="N152" i="8"/>
  <c r="N148" i="8"/>
  <c r="N194" i="8"/>
  <c r="N190" i="8"/>
  <c r="N191" i="8"/>
  <c r="N192" i="8"/>
  <c r="N188" i="8"/>
  <c r="N189" i="8"/>
  <c r="N193" i="8"/>
  <c r="N227" i="8"/>
  <c r="N200" i="8"/>
  <c r="N198" i="8"/>
  <c r="N201" i="8"/>
  <c r="N246" i="8"/>
  <c r="N214" i="8"/>
  <c r="N203" i="8"/>
  <c r="N204" i="8"/>
  <c r="N219" i="8"/>
  <c r="N220" i="8"/>
  <c r="N205" i="8"/>
  <c r="N206" i="8"/>
  <c r="N207" i="8"/>
  <c r="N208" i="8"/>
  <c r="N209" i="8"/>
  <c r="N232" i="8"/>
  <c r="N241" i="8"/>
  <c r="N247" i="8"/>
  <c r="N215" i="8"/>
  <c r="N238" i="8"/>
  <c r="N199" i="8"/>
  <c r="N212" i="8"/>
  <c r="N224" i="8"/>
  <c r="N213" i="8"/>
  <c r="N225" i="8"/>
  <c r="N243" i="8"/>
  <c r="N202" i="8"/>
  <c r="N211" i="8"/>
  <c r="N210" i="8"/>
  <c r="N237" i="8"/>
  <c r="N222" i="8"/>
  <c r="N223" i="8"/>
  <c r="N230" i="8"/>
  <c r="N216" i="8"/>
  <c r="N233" i="8"/>
  <c r="N221" i="8"/>
  <c r="N239" i="8"/>
  <c r="N217" i="8"/>
  <c r="N244" i="8"/>
  <c r="N234" i="8"/>
  <c r="N229" i="8"/>
  <c r="N226" i="8"/>
  <c r="N197" i="8"/>
  <c r="N231" i="8"/>
  <c r="N195" i="8"/>
  <c r="N236" i="8"/>
  <c r="N240" i="8"/>
  <c r="N245" i="8"/>
  <c r="N196" i="8"/>
  <c r="N242" i="8"/>
  <c r="N218" i="8"/>
  <c r="N235" i="8"/>
  <c r="N228" i="8"/>
  <c r="N70" i="8"/>
  <c r="AQ51" i="1" l="1"/>
  <c r="W5" i="4"/>
  <c r="X5" i="4"/>
  <c r="Y5" i="4"/>
  <c r="Z5" i="4"/>
  <c r="AA5" i="4"/>
  <c r="AB5" i="4"/>
  <c r="AC5" i="4"/>
  <c r="AD5" i="4"/>
  <c r="AE5" i="4"/>
  <c r="AF5" i="4"/>
  <c r="AG5" i="4"/>
  <c r="AH5" i="4"/>
  <c r="AI5" i="4"/>
  <c r="AJ5" i="4"/>
  <c r="AK5" i="4"/>
  <c r="AL5" i="4"/>
  <c r="AM5" i="4"/>
  <c r="AN5" i="4"/>
  <c r="AO5" i="4"/>
  <c r="AP5" i="4"/>
  <c r="AQ5" i="4"/>
  <c r="AR5" i="4"/>
  <c r="AS5" i="4"/>
  <c r="AT5" i="4"/>
  <c r="AU5" i="4"/>
  <c r="AV5" i="4"/>
  <c r="AW5" i="4"/>
  <c r="AX5" i="4"/>
  <c r="AY5" i="4"/>
  <c r="AZ5" i="4"/>
  <c r="BA5" i="4"/>
  <c r="BB5" i="4"/>
  <c r="BC5" i="4"/>
  <c r="BD5" i="4"/>
  <c r="BE5" i="4"/>
  <c r="W6" i="4"/>
  <c r="X6" i="4"/>
  <c r="Y6" i="4"/>
  <c r="Z6" i="4"/>
  <c r="AA6" i="4"/>
  <c r="AB6" i="4"/>
  <c r="AC6" i="4"/>
  <c r="AD6" i="4"/>
  <c r="AE6" i="4"/>
  <c r="AF6" i="4"/>
  <c r="AG6" i="4"/>
  <c r="AH6" i="4"/>
  <c r="AI6" i="4"/>
  <c r="AJ6" i="4"/>
  <c r="AK6" i="4"/>
  <c r="AL6" i="4"/>
  <c r="AM6" i="4"/>
  <c r="AN6" i="4"/>
  <c r="AO6" i="4"/>
  <c r="AP6" i="4"/>
  <c r="AQ6" i="4"/>
  <c r="AR6" i="4"/>
  <c r="AS6" i="4"/>
  <c r="AT6" i="4"/>
  <c r="AU6" i="4"/>
  <c r="AV6" i="4"/>
  <c r="AW6" i="4"/>
  <c r="AX6" i="4"/>
  <c r="AY6" i="4"/>
  <c r="AZ6" i="4"/>
  <c r="BA6" i="4"/>
  <c r="BB6" i="4"/>
  <c r="BC6" i="4"/>
  <c r="BD6" i="4"/>
  <c r="BE6" i="4"/>
  <c r="W7" i="4"/>
  <c r="X7" i="4"/>
  <c r="Y7" i="4"/>
  <c r="Z7" i="4"/>
  <c r="AA7" i="4"/>
  <c r="AB7" i="4"/>
  <c r="AC7" i="4"/>
  <c r="AD7" i="4"/>
  <c r="AE7" i="4"/>
  <c r="AF7" i="4"/>
  <c r="AG7" i="4"/>
  <c r="AH7" i="4"/>
  <c r="AI7" i="4"/>
  <c r="AJ7" i="4"/>
  <c r="AK7" i="4"/>
  <c r="AL7" i="4"/>
  <c r="AM7" i="4"/>
  <c r="AN7" i="4"/>
  <c r="AO7" i="4"/>
  <c r="AP7" i="4"/>
  <c r="AQ7" i="4"/>
  <c r="AR7" i="4"/>
  <c r="AS7" i="4"/>
  <c r="AT7" i="4"/>
  <c r="AU7" i="4"/>
  <c r="AV7" i="4"/>
  <c r="AW7" i="4"/>
  <c r="AX7" i="4"/>
  <c r="AY7" i="4"/>
  <c r="AZ7" i="4"/>
  <c r="BA7" i="4"/>
  <c r="BB7" i="4"/>
  <c r="BC7" i="4"/>
  <c r="BD7" i="4"/>
  <c r="BE7" i="4"/>
  <c r="W8" i="4"/>
  <c r="X8" i="4"/>
  <c r="Y8" i="4"/>
  <c r="Z8" i="4"/>
  <c r="AA8" i="4"/>
  <c r="AB8" i="4"/>
  <c r="AC8" i="4"/>
  <c r="AD8" i="4"/>
  <c r="AE8" i="4"/>
  <c r="AF8" i="4"/>
  <c r="AG8" i="4"/>
  <c r="AH8" i="4"/>
  <c r="AI8" i="4"/>
  <c r="AJ8" i="4"/>
  <c r="AK8" i="4"/>
  <c r="AL8" i="4"/>
  <c r="AM8" i="4"/>
  <c r="AN8" i="4"/>
  <c r="AO8" i="4"/>
  <c r="AP8" i="4"/>
  <c r="AQ8" i="4"/>
  <c r="AR8" i="4"/>
  <c r="AS8" i="4"/>
  <c r="AT8" i="4"/>
  <c r="AU8" i="4"/>
  <c r="AV8" i="4"/>
  <c r="AW8" i="4"/>
  <c r="AX8" i="4"/>
  <c r="AY8" i="4"/>
  <c r="AZ8" i="4"/>
  <c r="BA8" i="4"/>
  <c r="BB8" i="4"/>
  <c r="BC8" i="4"/>
  <c r="BD8" i="4"/>
  <c r="BE8" i="4"/>
  <c r="W9" i="4"/>
  <c r="X9" i="4"/>
  <c r="Y9" i="4"/>
  <c r="Z9" i="4"/>
  <c r="AA9" i="4"/>
  <c r="AB9" i="4"/>
  <c r="AC9" i="4"/>
  <c r="AD9" i="4"/>
  <c r="AE9" i="4"/>
  <c r="AF9" i="4"/>
  <c r="AG9" i="4"/>
  <c r="AH9" i="4"/>
  <c r="AI9" i="4"/>
  <c r="AJ9" i="4"/>
  <c r="AK9" i="4"/>
  <c r="AL9" i="4"/>
  <c r="AM9" i="4"/>
  <c r="AN9" i="4"/>
  <c r="AO9" i="4"/>
  <c r="AP9" i="4"/>
  <c r="AQ9" i="4"/>
  <c r="AR9" i="4"/>
  <c r="AS9" i="4"/>
  <c r="AT9" i="4"/>
  <c r="AU9" i="4"/>
  <c r="AV9" i="4"/>
  <c r="AW9" i="4"/>
  <c r="AX9" i="4"/>
  <c r="AY9" i="4"/>
  <c r="AZ9" i="4"/>
  <c r="BA9" i="4"/>
  <c r="BB9" i="4"/>
  <c r="BC9" i="4"/>
  <c r="BD9" i="4"/>
  <c r="BE9" i="4"/>
  <c r="W10" i="4"/>
  <c r="X10" i="4"/>
  <c r="Y10" i="4"/>
  <c r="Z10" i="4"/>
  <c r="AA10" i="4"/>
  <c r="AB10" i="4"/>
  <c r="AC10" i="4"/>
  <c r="AD10" i="4"/>
  <c r="AE10" i="4"/>
  <c r="AF10" i="4"/>
  <c r="AG10" i="4"/>
  <c r="AH10" i="4"/>
  <c r="AI10" i="4"/>
  <c r="AJ10" i="4"/>
  <c r="AK10" i="4"/>
  <c r="AL10" i="4"/>
  <c r="AM10" i="4"/>
  <c r="AN10" i="4"/>
  <c r="AO10" i="4"/>
  <c r="AP10" i="4"/>
  <c r="AQ10" i="4"/>
  <c r="AR10" i="4"/>
  <c r="AS10" i="4"/>
  <c r="AT10" i="4"/>
  <c r="AU10" i="4"/>
  <c r="AV10" i="4"/>
  <c r="AW10" i="4"/>
  <c r="AX10" i="4"/>
  <c r="AY10" i="4"/>
  <c r="AZ10" i="4"/>
  <c r="BA10" i="4"/>
  <c r="BB10" i="4"/>
  <c r="BC10" i="4"/>
  <c r="BD10" i="4"/>
  <c r="BE10" i="4"/>
  <c r="W11" i="4"/>
  <c r="X11" i="4"/>
  <c r="Y11" i="4"/>
  <c r="Z11" i="4"/>
  <c r="AA11" i="4"/>
  <c r="AB11" i="4"/>
  <c r="AC11" i="4"/>
  <c r="AD11" i="4"/>
  <c r="AE11" i="4"/>
  <c r="AF11" i="4"/>
  <c r="AG11" i="4"/>
  <c r="AH11" i="4"/>
  <c r="AI11" i="4"/>
  <c r="AJ11" i="4"/>
  <c r="AK11" i="4"/>
  <c r="AL11" i="4"/>
  <c r="AM11" i="4"/>
  <c r="AN11" i="4"/>
  <c r="AO11" i="4"/>
  <c r="AP11" i="4"/>
  <c r="AQ11" i="4"/>
  <c r="AR11" i="4"/>
  <c r="AS11" i="4"/>
  <c r="AT11" i="4"/>
  <c r="AU11" i="4"/>
  <c r="AV11" i="4"/>
  <c r="AW11" i="4"/>
  <c r="AX11" i="4"/>
  <c r="AY11" i="4"/>
  <c r="AZ11" i="4"/>
  <c r="BA11" i="4"/>
  <c r="BB11" i="4"/>
  <c r="BC11" i="4"/>
  <c r="BD11" i="4"/>
  <c r="BE11" i="4"/>
  <c r="W12" i="4"/>
  <c r="X12" i="4"/>
  <c r="Y12" i="4"/>
  <c r="Z12" i="4"/>
  <c r="AA12" i="4"/>
  <c r="AB12" i="4"/>
  <c r="AC12" i="4"/>
  <c r="AD12" i="4"/>
  <c r="AE12" i="4"/>
  <c r="AF12" i="4"/>
  <c r="AG12" i="4"/>
  <c r="AH12" i="4"/>
  <c r="AI12" i="4"/>
  <c r="AJ12" i="4"/>
  <c r="AK12" i="4"/>
  <c r="AL12" i="4"/>
  <c r="AM12" i="4"/>
  <c r="AN12" i="4"/>
  <c r="AO12" i="4"/>
  <c r="AP12" i="4"/>
  <c r="AQ12" i="4"/>
  <c r="AR12" i="4"/>
  <c r="AS12" i="4"/>
  <c r="AT12" i="4"/>
  <c r="AU12" i="4"/>
  <c r="AV12" i="4"/>
  <c r="AW12" i="4"/>
  <c r="AX12" i="4"/>
  <c r="AY12" i="4"/>
  <c r="AZ12" i="4"/>
  <c r="BA12" i="4"/>
  <c r="BB12" i="4"/>
  <c r="BC12" i="4"/>
  <c r="BD12" i="4"/>
  <c r="BE12" i="4"/>
  <c r="W13" i="4"/>
  <c r="X13" i="4"/>
  <c r="Y13" i="4"/>
  <c r="Z13" i="4"/>
  <c r="AA13" i="4"/>
  <c r="AB13" i="4"/>
  <c r="AC13" i="4"/>
  <c r="AD13" i="4"/>
  <c r="AE13" i="4"/>
  <c r="AF13" i="4"/>
  <c r="AG13" i="4"/>
  <c r="AH13" i="4"/>
  <c r="AI13" i="4"/>
  <c r="AJ13" i="4"/>
  <c r="AK13" i="4"/>
  <c r="AL13" i="4"/>
  <c r="AM13" i="4"/>
  <c r="AN13" i="4"/>
  <c r="AO13" i="4"/>
  <c r="AP13" i="4"/>
  <c r="AQ13" i="4"/>
  <c r="AR13" i="4"/>
  <c r="AS13" i="4"/>
  <c r="AT13" i="4"/>
  <c r="AU13" i="4"/>
  <c r="AV13" i="4"/>
  <c r="AW13" i="4"/>
  <c r="AX13" i="4"/>
  <c r="AY13" i="4"/>
  <c r="AZ13" i="4"/>
  <c r="BA13" i="4"/>
  <c r="BB13" i="4"/>
  <c r="BC13" i="4"/>
  <c r="BD13" i="4"/>
  <c r="BE13" i="4"/>
  <c r="W14" i="4"/>
  <c r="X14" i="4"/>
  <c r="Y14" i="4"/>
  <c r="Z14" i="4"/>
  <c r="AA14" i="4"/>
  <c r="AB14" i="4"/>
  <c r="AC14" i="4"/>
  <c r="AD14" i="4"/>
  <c r="AE14" i="4"/>
  <c r="AF14" i="4"/>
  <c r="AG14" i="4"/>
  <c r="AH14" i="4"/>
  <c r="AI14" i="4"/>
  <c r="AJ14" i="4"/>
  <c r="AK14" i="4"/>
  <c r="AL14" i="4"/>
  <c r="AM14" i="4"/>
  <c r="AN14" i="4"/>
  <c r="AO14" i="4"/>
  <c r="AP14" i="4"/>
  <c r="AQ14" i="4"/>
  <c r="AR14" i="4"/>
  <c r="AS14" i="4"/>
  <c r="AT14" i="4"/>
  <c r="AU14" i="4"/>
  <c r="AV14" i="4"/>
  <c r="AW14" i="4"/>
  <c r="AX14" i="4"/>
  <c r="AY14" i="4"/>
  <c r="AZ14" i="4"/>
  <c r="BA14" i="4"/>
  <c r="BB14" i="4"/>
  <c r="BC14" i="4"/>
  <c r="BD14" i="4"/>
  <c r="BE14" i="4"/>
  <c r="W15" i="4"/>
  <c r="X15" i="4"/>
  <c r="Y15" i="4"/>
  <c r="Z15" i="4"/>
  <c r="AA15" i="4"/>
  <c r="AB15" i="4"/>
  <c r="AC15" i="4"/>
  <c r="AD15" i="4"/>
  <c r="AE15" i="4"/>
  <c r="AF15" i="4"/>
  <c r="AG15" i="4"/>
  <c r="AH15" i="4"/>
  <c r="AI15" i="4"/>
  <c r="AJ15" i="4"/>
  <c r="AK15" i="4"/>
  <c r="AL15" i="4"/>
  <c r="AM15" i="4"/>
  <c r="AN15" i="4"/>
  <c r="AO15" i="4"/>
  <c r="AP15" i="4"/>
  <c r="AQ15" i="4"/>
  <c r="AR15" i="4"/>
  <c r="AS15" i="4"/>
  <c r="AT15" i="4"/>
  <c r="AU15" i="4"/>
  <c r="AV15" i="4"/>
  <c r="AW15" i="4"/>
  <c r="AX15" i="4"/>
  <c r="AY15" i="4"/>
  <c r="AZ15" i="4"/>
  <c r="BA15" i="4"/>
  <c r="BB15" i="4"/>
  <c r="BC15" i="4"/>
  <c r="BD15" i="4"/>
  <c r="BE15" i="4"/>
  <c r="W16" i="4"/>
  <c r="X16" i="4"/>
  <c r="Y16" i="4"/>
  <c r="Z16" i="4"/>
  <c r="AA16" i="4"/>
  <c r="AB16" i="4"/>
  <c r="AC16" i="4"/>
  <c r="AD16" i="4"/>
  <c r="AE16" i="4"/>
  <c r="AF16" i="4"/>
  <c r="AG16" i="4"/>
  <c r="AH16" i="4"/>
  <c r="AI16" i="4"/>
  <c r="AJ16" i="4"/>
  <c r="AK16" i="4"/>
  <c r="AL16" i="4"/>
  <c r="AM16" i="4"/>
  <c r="AN16" i="4"/>
  <c r="AO16" i="4"/>
  <c r="AP16" i="4"/>
  <c r="AQ16" i="4"/>
  <c r="AR16" i="4"/>
  <c r="AS16" i="4"/>
  <c r="AT16" i="4"/>
  <c r="AU16" i="4"/>
  <c r="AV16" i="4"/>
  <c r="AW16" i="4"/>
  <c r="AX16" i="4"/>
  <c r="AY16" i="4"/>
  <c r="AZ16" i="4"/>
  <c r="BA16" i="4"/>
  <c r="BB16" i="4"/>
  <c r="BC16" i="4"/>
  <c r="BD16" i="4"/>
  <c r="BE16" i="4"/>
  <c r="W17" i="4"/>
  <c r="X17" i="4"/>
  <c r="Y17" i="4"/>
  <c r="Z17" i="4"/>
  <c r="AA17" i="4"/>
  <c r="AB17" i="4"/>
  <c r="AC17" i="4"/>
  <c r="AD17" i="4"/>
  <c r="AE17" i="4"/>
  <c r="AF17" i="4"/>
  <c r="AG17" i="4"/>
  <c r="AH17" i="4"/>
  <c r="AI17" i="4"/>
  <c r="AJ17" i="4"/>
  <c r="AK17" i="4"/>
  <c r="AL17" i="4"/>
  <c r="AM17" i="4"/>
  <c r="AN17" i="4"/>
  <c r="AO17" i="4"/>
  <c r="AP17" i="4"/>
  <c r="AQ17" i="4"/>
  <c r="AR17" i="4"/>
  <c r="AS17" i="4"/>
  <c r="AT17" i="4"/>
  <c r="AU17" i="4"/>
  <c r="AV17" i="4"/>
  <c r="AW17" i="4"/>
  <c r="AX17" i="4"/>
  <c r="AY17" i="4"/>
  <c r="AZ17" i="4"/>
  <c r="BA17" i="4"/>
  <c r="BB17" i="4"/>
  <c r="BC17" i="4"/>
  <c r="BD17" i="4"/>
  <c r="BE17" i="4"/>
  <c r="W18" i="4"/>
  <c r="X18" i="4"/>
  <c r="Y18" i="4"/>
  <c r="Z18" i="4"/>
  <c r="AA18" i="4"/>
  <c r="AB18" i="4"/>
  <c r="AC18" i="4"/>
  <c r="AD18" i="4"/>
  <c r="AE18" i="4"/>
  <c r="AF18" i="4"/>
  <c r="AG18" i="4"/>
  <c r="AH18" i="4"/>
  <c r="AI18" i="4"/>
  <c r="AJ18" i="4"/>
  <c r="AK18" i="4"/>
  <c r="AL18" i="4"/>
  <c r="AM18" i="4"/>
  <c r="AN18" i="4"/>
  <c r="AO18" i="4"/>
  <c r="AP18" i="4"/>
  <c r="AQ18" i="4"/>
  <c r="AR18" i="4"/>
  <c r="AS18" i="4"/>
  <c r="AT18" i="4"/>
  <c r="AU18" i="4"/>
  <c r="AV18" i="4"/>
  <c r="AW18" i="4"/>
  <c r="AX18" i="4"/>
  <c r="AY18" i="4"/>
  <c r="AZ18" i="4"/>
  <c r="BA18" i="4"/>
  <c r="BB18" i="4"/>
  <c r="BC18" i="4"/>
  <c r="BD18" i="4"/>
  <c r="BE18" i="4"/>
  <c r="W19" i="4"/>
  <c r="X19" i="4"/>
  <c r="Y19" i="4"/>
  <c r="Z19" i="4"/>
  <c r="AA19" i="4"/>
  <c r="AB19" i="4"/>
  <c r="AC19" i="4"/>
  <c r="AD19" i="4"/>
  <c r="AE19" i="4"/>
  <c r="AF19" i="4"/>
  <c r="AG19" i="4"/>
  <c r="AH19" i="4"/>
  <c r="AI19" i="4"/>
  <c r="AJ19" i="4"/>
  <c r="AK19" i="4"/>
  <c r="AL19" i="4"/>
  <c r="AM19" i="4"/>
  <c r="AN19" i="4"/>
  <c r="AO19" i="4"/>
  <c r="AP19" i="4"/>
  <c r="AQ19" i="4"/>
  <c r="AR19" i="4"/>
  <c r="AS19" i="4"/>
  <c r="AT19" i="4"/>
  <c r="AU19" i="4"/>
  <c r="AV19" i="4"/>
  <c r="AW19" i="4"/>
  <c r="AX19" i="4"/>
  <c r="AY19" i="4"/>
  <c r="AZ19" i="4"/>
  <c r="BA19" i="4"/>
  <c r="BB19" i="4"/>
  <c r="BC19" i="4"/>
  <c r="BD19" i="4"/>
  <c r="BE19" i="4"/>
  <c r="V6" i="4"/>
  <c r="V7" i="4"/>
  <c r="V8" i="4"/>
  <c r="V9" i="4"/>
  <c r="V10" i="4"/>
  <c r="V11" i="4"/>
  <c r="V12" i="4"/>
  <c r="V13" i="4"/>
  <c r="V14" i="4"/>
  <c r="V15" i="4"/>
  <c r="V16" i="4"/>
  <c r="V17" i="4"/>
  <c r="V18" i="4"/>
  <c r="V19" i="4"/>
  <c r="V5" i="4"/>
  <c r="T6" i="4"/>
  <c r="T7" i="4"/>
  <c r="T8" i="4"/>
  <c r="T9" i="4"/>
  <c r="T10" i="4"/>
  <c r="T11" i="4"/>
  <c r="T12" i="4"/>
  <c r="T13" i="4"/>
  <c r="T14" i="4"/>
  <c r="T15" i="4"/>
  <c r="T16" i="4"/>
  <c r="T17" i="4"/>
  <c r="T18" i="4"/>
  <c r="T19" i="4"/>
  <c r="T5" i="4"/>
  <c r="AR17" i="1" l="1"/>
  <c r="AR18" i="1"/>
  <c r="AR19" i="1"/>
  <c r="AR20" i="1"/>
  <c r="AR21" i="1"/>
  <c r="AR22" i="1"/>
  <c r="AR23" i="1"/>
  <c r="H19" i="4" l="1"/>
  <c r="H58" i="4"/>
  <c r="H52" i="4"/>
  <c r="H55" i="4"/>
  <c r="H54" i="4"/>
  <c r="H57" i="4"/>
  <c r="H56" i="4"/>
  <c r="H53" i="4"/>
  <c r="O15" i="3" l="1"/>
  <c r="O11" i="3"/>
  <c r="O12" i="3"/>
  <c r="Y3" i="3"/>
  <c r="Y4" i="3"/>
  <c r="Y5" i="3"/>
  <c r="Y6" i="3"/>
  <c r="Y7" i="3"/>
  <c r="Y8" i="3"/>
  <c r="Y2" i="3"/>
  <c r="G45" i="4"/>
  <c r="G47" i="4"/>
  <c r="G44" i="4"/>
  <c r="M70" i="8"/>
  <c r="O82" i="8"/>
  <c r="O65" i="8"/>
  <c r="O66" i="8"/>
  <c r="O81" i="8"/>
  <c r="O67" i="8"/>
  <c r="O68" i="8"/>
  <c r="O69" i="8"/>
  <c r="O79" i="8"/>
  <c r="O84" i="8"/>
  <c r="O71" i="8"/>
  <c r="O72" i="8"/>
  <c r="O74" i="8"/>
  <c r="O77" i="8"/>
  <c r="O83" i="8"/>
  <c r="O75" i="8"/>
  <c r="O78" i="8"/>
  <c r="O80" i="8"/>
  <c r="O73" i="8"/>
  <c r="O76" i="8"/>
  <c r="O133" i="8"/>
  <c r="O130" i="8"/>
  <c r="O143" i="8"/>
  <c r="O169" i="8"/>
  <c r="O170" i="8"/>
  <c r="O171" i="8"/>
  <c r="O168" i="8"/>
  <c r="O181" i="8"/>
  <c r="O178" i="8"/>
  <c r="O180" i="8"/>
  <c r="O179" i="8"/>
  <c r="O177" i="8"/>
  <c r="O175" i="8"/>
  <c r="O176" i="8"/>
  <c r="O4" i="8"/>
  <c r="O3" i="8"/>
  <c r="O5" i="8"/>
  <c r="O6" i="8"/>
  <c r="O7" i="8"/>
  <c r="O16" i="8"/>
  <c r="O9" i="8"/>
  <c r="O8" i="8"/>
  <c r="O14" i="8"/>
  <c r="O12" i="8"/>
  <c r="O10" i="8"/>
  <c r="O19" i="8"/>
  <c r="O15" i="8"/>
  <c r="O17" i="8"/>
  <c r="O18" i="8"/>
  <c r="O11" i="8"/>
  <c r="O13" i="8"/>
  <c r="O62" i="8"/>
  <c r="O63" i="8"/>
  <c r="O58" i="8"/>
  <c r="O51" i="8"/>
  <c r="O55" i="8"/>
  <c r="O54" i="8"/>
  <c r="O53" i="8"/>
  <c r="O116" i="8"/>
  <c r="O101" i="8"/>
  <c r="O98" i="8"/>
  <c r="O106" i="8"/>
  <c r="O99" i="8"/>
  <c r="O97" i="8"/>
  <c r="O107" i="8"/>
  <c r="O108" i="8"/>
  <c r="O119" i="8"/>
  <c r="O155" i="8"/>
  <c r="O120" i="8"/>
  <c r="O123" i="8"/>
  <c r="O156" i="8"/>
  <c r="O163" i="8"/>
  <c r="O124" i="8"/>
  <c r="O164" i="8"/>
  <c r="O158" i="8"/>
  <c r="O159" i="8"/>
  <c r="O145" i="8"/>
  <c r="O161" i="8"/>
  <c r="O121" i="8"/>
  <c r="O162" i="8"/>
  <c r="O127" i="8"/>
  <c r="O151" i="8"/>
  <c r="O142" i="8"/>
  <c r="O144" i="8"/>
  <c r="O140" i="8"/>
  <c r="O139" i="8"/>
  <c r="O141" i="8"/>
  <c r="O122" i="8"/>
  <c r="O137" i="8"/>
  <c r="O160" i="8"/>
  <c r="O47" i="8"/>
  <c r="O64" i="8"/>
  <c r="O60" i="8"/>
  <c r="O46" i="8"/>
  <c r="O48" i="8"/>
  <c r="O61" i="8"/>
  <c r="O59" i="8"/>
  <c r="O56" i="8"/>
  <c r="O50" i="8"/>
  <c r="O57" i="8"/>
  <c r="O52" i="8"/>
  <c r="O49" i="8"/>
  <c r="O90" i="8"/>
  <c r="O115" i="8"/>
  <c r="O112" i="8"/>
  <c r="O85" i="8"/>
  <c r="O117" i="8"/>
  <c r="O110" i="8"/>
  <c r="O113" i="8"/>
  <c r="O93" i="8"/>
  <c r="O96" i="8"/>
  <c r="O86" i="8"/>
  <c r="O105" i="8"/>
  <c r="O104" i="8"/>
  <c r="O87" i="8"/>
  <c r="O114" i="8"/>
  <c r="O92" i="8"/>
  <c r="O103" i="8"/>
  <c r="O102" i="8"/>
  <c r="O91" i="8"/>
  <c r="O89" i="8"/>
  <c r="O88" i="8"/>
  <c r="O109" i="8"/>
  <c r="O94" i="8"/>
  <c r="O95" i="8"/>
  <c r="O100" i="8"/>
  <c r="O111" i="8"/>
  <c r="O118" i="8"/>
  <c r="O147" i="8"/>
  <c r="O150" i="8"/>
  <c r="O157" i="8"/>
  <c r="O126" i="8"/>
  <c r="O125" i="8"/>
  <c r="O132" i="8"/>
  <c r="O146" i="8"/>
  <c r="O138" i="8"/>
  <c r="O165" i="8"/>
  <c r="O166" i="8"/>
  <c r="O167" i="8"/>
  <c r="O174" i="8"/>
  <c r="O172" i="8"/>
  <c r="O173" i="8"/>
  <c r="O184" i="8"/>
  <c r="O186" i="8"/>
  <c r="O182" i="8"/>
  <c r="O187" i="8"/>
  <c r="O183" i="8"/>
  <c r="O185" i="8"/>
  <c r="O26" i="8"/>
  <c r="O23" i="8"/>
  <c r="O21" i="8"/>
  <c r="O22" i="8"/>
  <c r="O20" i="8"/>
  <c r="O25" i="8"/>
  <c r="O27" i="8"/>
  <c r="O24" i="8"/>
  <c r="O34" i="8"/>
  <c r="O35" i="8"/>
  <c r="O36" i="8"/>
  <c r="O40" i="8"/>
  <c r="O31" i="8"/>
  <c r="O42" i="8"/>
  <c r="O29" i="8"/>
  <c r="O37" i="8"/>
  <c r="O39" i="8"/>
  <c r="O38" i="8"/>
  <c r="O28" i="8"/>
  <c r="O33" i="8"/>
  <c r="O41" i="8"/>
  <c r="O30" i="8"/>
  <c r="O32" i="8"/>
  <c r="O44" i="8"/>
  <c r="O45" i="8"/>
  <c r="O43" i="8"/>
  <c r="O153" i="8"/>
  <c r="O128" i="8"/>
  <c r="O134" i="8"/>
  <c r="O129" i="8"/>
  <c r="O136" i="8"/>
  <c r="O149" i="8"/>
  <c r="O131" i="8"/>
  <c r="O135" i="8"/>
  <c r="O154" i="8"/>
  <c r="O152" i="8"/>
  <c r="O148" i="8"/>
  <c r="O194" i="8"/>
  <c r="O190" i="8"/>
  <c r="O191" i="8"/>
  <c r="O192" i="8"/>
  <c r="O188" i="8"/>
  <c r="O189" i="8"/>
  <c r="O193" i="8"/>
  <c r="O227" i="8"/>
  <c r="O200" i="8"/>
  <c r="O198" i="8"/>
  <c r="O201" i="8"/>
  <c r="O246" i="8"/>
  <c r="O214" i="8"/>
  <c r="O203" i="8"/>
  <c r="O204" i="8"/>
  <c r="O219" i="8"/>
  <c r="O220" i="8"/>
  <c r="O205" i="8"/>
  <c r="O206" i="8"/>
  <c r="O207" i="8"/>
  <c r="O208" i="8"/>
  <c r="O209" i="8"/>
  <c r="O232" i="8"/>
  <c r="O241" i="8"/>
  <c r="O247" i="8"/>
  <c r="O215" i="8"/>
  <c r="O238" i="8"/>
  <c r="O199" i="8"/>
  <c r="O212" i="8"/>
  <c r="O224" i="8"/>
  <c r="O213" i="8"/>
  <c r="O225" i="8"/>
  <c r="O243" i="8"/>
  <c r="O202" i="8"/>
  <c r="O211" i="8"/>
  <c r="O210" i="8"/>
  <c r="O237" i="8"/>
  <c r="O222" i="8"/>
  <c r="O223" i="8"/>
  <c r="O230" i="8"/>
  <c r="O216" i="8"/>
  <c r="O233" i="8"/>
  <c r="O221" i="8"/>
  <c r="O239" i="8"/>
  <c r="O217" i="8"/>
  <c r="O244" i="8"/>
  <c r="O234" i="8"/>
  <c r="O229" i="8"/>
  <c r="O226" i="8"/>
  <c r="O197" i="8"/>
  <c r="O231" i="8"/>
  <c r="O195" i="8"/>
  <c r="O236" i="8"/>
  <c r="O240" i="8"/>
  <c r="O245" i="8"/>
  <c r="O196" i="8"/>
  <c r="O242" i="8"/>
  <c r="O218" i="8"/>
  <c r="O235" i="8"/>
  <c r="O228" i="8"/>
  <c r="BE2" i="3" l="1" a="1"/>
  <c r="BE2" i="3" s="1"/>
  <c r="BC2" i="3" a="1"/>
  <c r="BC2" i="3" s="1"/>
  <c r="AX2" i="3" a="1"/>
  <c r="AX2" i="3" s="1"/>
  <c r="AW2" i="3" a="1"/>
  <c r="AW2" i="3" s="1"/>
  <c r="AZ2" i="3" a="1"/>
  <c r="AZ2" i="3" s="1"/>
  <c r="AY2" i="3" a="1"/>
  <c r="AY2" i="3" s="1"/>
  <c r="BB2" i="3" a="1"/>
  <c r="BB2" i="3" s="1"/>
  <c r="AT2" i="3" a="1"/>
  <c r="AT2" i="3" s="1"/>
  <c r="AV2" i="3" a="1"/>
  <c r="AV2" i="3" s="1"/>
  <c r="BH2" i="3" a="1"/>
  <c r="BH2" i="3" s="1"/>
  <c r="BA2" i="3" a="1"/>
  <c r="BA2" i="3" s="1"/>
  <c r="AU2" i="3" a="1"/>
  <c r="AU2" i="3" s="1"/>
  <c r="BG2" i="3" a="1"/>
  <c r="BG2" i="3" s="1"/>
  <c r="BF2" i="3" a="1"/>
  <c r="BF2" i="3" s="1"/>
  <c r="BD2" i="3" a="1"/>
  <c r="BD2" i="3" s="1"/>
  <c r="Z2" i="3" a="1"/>
  <c r="Z2" i="3" s="1"/>
  <c r="AL2" i="3" a="1"/>
  <c r="AL2" i="3" s="1"/>
  <c r="AJ2" i="3" a="1"/>
  <c r="AJ2" i="3" s="1"/>
  <c r="AN2" i="3" a="1"/>
  <c r="AN2" i="3" s="1"/>
  <c r="AD2" i="3" a="1"/>
  <c r="AD2" i="3" s="1"/>
  <c r="W2" i="3" a="1"/>
  <c r="W2" i="3" s="1"/>
  <c r="AP2" i="3" a="1"/>
  <c r="AP2" i="3" s="1"/>
  <c r="AR2" i="3" a="1"/>
  <c r="AR2" i="3" s="1"/>
  <c r="AQ2" i="3" a="1"/>
  <c r="AQ2" i="3" s="1"/>
  <c r="AO2" i="3" a="1"/>
  <c r="AO2" i="3" s="1"/>
  <c r="AS2" i="3" a="1"/>
  <c r="AS2" i="3" s="1"/>
  <c r="AK2" i="3" a="1"/>
  <c r="AK2" i="3" s="1"/>
  <c r="AC2" i="3" a="1"/>
  <c r="AC2" i="3" s="1"/>
  <c r="AB2" i="3" a="1"/>
  <c r="AB2" i="3" s="1"/>
  <c r="AA2" i="3" a="1"/>
  <c r="AA2" i="3" s="1"/>
  <c r="AI2" i="3" a="1"/>
  <c r="AI2" i="3" s="1"/>
  <c r="AH2" i="3" a="1"/>
  <c r="AH2" i="3" s="1"/>
  <c r="AG2" i="3" a="1"/>
  <c r="AG2" i="3" s="1"/>
  <c r="AF2" i="3" a="1"/>
  <c r="AF2" i="3" s="1"/>
  <c r="AM2" i="3" a="1"/>
  <c r="AM2" i="3" s="1"/>
  <c r="AE2" i="3" a="1"/>
  <c r="AE2" i="3" s="1"/>
  <c r="K258" i="8"/>
  <c r="M261" i="8"/>
  <c r="K250" i="8"/>
  <c r="M249" i="8"/>
  <c r="K242" i="8"/>
  <c r="M229" i="8"/>
  <c r="K234" i="8"/>
  <c r="M216" i="8"/>
  <c r="K226" i="8"/>
  <c r="M211" i="8"/>
  <c r="K218" i="8"/>
  <c r="M212" i="8"/>
  <c r="K210" i="8"/>
  <c r="M250" i="8"/>
  <c r="K202" i="8"/>
  <c r="M203" i="8"/>
  <c r="K194" i="8"/>
  <c r="M193" i="8"/>
  <c r="K186" i="8"/>
  <c r="M152" i="8"/>
  <c r="K178" i="8"/>
  <c r="M128" i="8"/>
  <c r="K171" i="8"/>
  <c r="M33" i="8"/>
  <c r="K163" i="8"/>
  <c r="M40" i="8"/>
  <c r="K155" i="8"/>
  <c r="M22" i="8"/>
  <c r="K147" i="8"/>
  <c r="M186" i="8"/>
  <c r="K139" i="8"/>
  <c r="M165" i="8"/>
  <c r="K131" i="8"/>
  <c r="M147" i="8"/>
  <c r="K123" i="8"/>
  <c r="M89" i="8"/>
  <c r="K115" i="8"/>
  <c r="M105" i="8"/>
  <c r="K107" i="8"/>
  <c r="M112" i="8"/>
  <c r="K99" i="8"/>
  <c r="M59" i="8"/>
  <c r="K91" i="8"/>
  <c r="M137" i="8"/>
  <c r="K83" i="8"/>
  <c r="M127" i="8"/>
  <c r="K75" i="8"/>
  <c r="M124" i="8"/>
  <c r="K67" i="8"/>
  <c r="M107" i="8"/>
  <c r="K59" i="8"/>
  <c r="M54" i="8"/>
  <c r="K51" i="8"/>
  <c r="M18" i="8"/>
  <c r="K43" i="8"/>
  <c r="M9" i="8"/>
  <c r="K35" i="8"/>
  <c r="M175" i="8"/>
  <c r="K27" i="8"/>
  <c r="M170" i="8"/>
  <c r="K19" i="8"/>
  <c r="M78" i="8"/>
  <c r="K11" i="8"/>
  <c r="M79" i="8"/>
  <c r="K257" i="8"/>
  <c r="M266" i="8"/>
  <c r="K249" i="8"/>
  <c r="M240" i="8"/>
  <c r="K241" i="8"/>
  <c r="M234" i="8"/>
  <c r="K233" i="8"/>
  <c r="M252" i="8"/>
  <c r="K225" i="8"/>
  <c r="M202" i="8"/>
  <c r="K217" i="8"/>
  <c r="M199" i="8"/>
  <c r="K209" i="8"/>
  <c r="M208" i="8"/>
  <c r="K201" i="8"/>
  <c r="M214" i="8"/>
  <c r="K193" i="8"/>
  <c r="M189" i="8"/>
  <c r="K185" i="8"/>
  <c r="M154" i="8"/>
  <c r="K177" i="8"/>
  <c r="M153" i="8"/>
  <c r="K170" i="8"/>
  <c r="M28" i="8"/>
  <c r="K162" i="8"/>
  <c r="M36" i="8"/>
  <c r="K154" i="8"/>
  <c r="M21" i="8"/>
  <c r="K146" i="8"/>
  <c r="M184" i="8"/>
  <c r="K138" i="8"/>
  <c r="M138" i="8"/>
  <c r="K130" i="8"/>
  <c r="M118" i="8"/>
  <c r="K122" i="8"/>
  <c r="M91" i="8"/>
  <c r="K114" i="8"/>
  <c r="M86" i="8"/>
  <c r="K106" i="8"/>
  <c r="M115" i="8"/>
  <c r="K98" i="8"/>
  <c r="M61" i="8"/>
  <c r="K90" i="8"/>
  <c r="M122" i="8"/>
  <c r="K82" i="8"/>
  <c r="M162" i="8"/>
  <c r="K74" i="8"/>
  <c r="M163" i="8"/>
  <c r="K66" i="8"/>
  <c r="M97" i="8"/>
  <c r="K58" i="8"/>
  <c r="M55" i="8"/>
  <c r="K50" i="8"/>
  <c r="M17" i="8"/>
  <c r="K42" i="8"/>
  <c r="M16" i="8"/>
  <c r="K34" i="8"/>
  <c r="M177" i="8"/>
  <c r="K26" i="8"/>
  <c r="M169" i="8"/>
  <c r="K18" i="8"/>
  <c r="M75" i="8"/>
  <c r="K10" i="8"/>
  <c r="M69" i="8"/>
  <c r="K256" i="8"/>
  <c r="M228" i="8"/>
  <c r="K248" i="8"/>
  <c r="M236" i="8"/>
  <c r="K240" i="8"/>
  <c r="M244" i="8"/>
  <c r="K232" i="8"/>
  <c r="M230" i="8"/>
  <c r="K224" i="8"/>
  <c r="M243" i="8"/>
  <c r="K216" i="8"/>
  <c r="M238" i="8"/>
  <c r="K208" i="8"/>
  <c r="M207" i="8"/>
  <c r="K200" i="8"/>
  <c r="M248" i="8"/>
  <c r="K192" i="8"/>
  <c r="M188" i="8"/>
  <c r="K184" i="8"/>
  <c r="M135" i="8"/>
  <c r="K176" i="8"/>
  <c r="M43" i="8"/>
  <c r="K169" i="8"/>
  <c r="M38" i="8"/>
  <c r="K161" i="8"/>
  <c r="M35" i="8"/>
  <c r="K153" i="8"/>
  <c r="M23" i="8"/>
  <c r="K145" i="8"/>
  <c r="M173" i="8"/>
  <c r="K137" i="8"/>
  <c r="M146" i="8"/>
  <c r="K129" i="8"/>
  <c r="M111" i="8"/>
  <c r="K121" i="8"/>
  <c r="M102" i="8"/>
  <c r="K113" i="8"/>
  <c r="M96" i="8"/>
  <c r="K105" i="8"/>
  <c r="M90" i="8"/>
  <c r="K97" i="8"/>
  <c r="M48" i="8"/>
  <c r="K89" i="8"/>
  <c r="M141" i="8"/>
  <c r="K81" i="8"/>
  <c r="M121" i="8"/>
  <c r="K73" i="8"/>
  <c r="M156" i="8"/>
  <c r="K65" i="8"/>
  <c r="M99" i="8"/>
  <c r="K57" i="8"/>
  <c r="M51" i="8"/>
  <c r="K49" i="8"/>
  <c r="M15" i="8"/>
  <c r="K41" i="8"/>
  <c r="M7" i="8"/>
  <c r="K33" i="8"/>
  <c r="M179" i="8"/>
  <c r="K25" i="8"/>
  <c r="M143" i="8"/>
  <c r="K17" i="8"/>
  <c r="M83" i="8"/>
  <c r="K9" i="8"/>
  <c r="M68" i="8"/>
  <c r="K255" i="8"/>
  <c r="M235" i="8"/>
  <c r="K247" i="8"/>
  <c r="M195" i="8"/>
  <c r="K239" i="8"/>
  <c r="M217" i="8"/>
  <c r="K231" i="8"/>
  <c r="M223" i="8"/>
  <c r="K223" i="8"/>
  <c r="M225" i="8"/>
  <c r="K215" i="8"/>
  <c r="M215" i="8"/>
  <c r="K207" i="8"/>
  <c r="M206" i="8"/>
  <c r="K199" i="8"/>
  <c r="M246" i="8"/>
  <c r="K191" i="8"/>
  <c r="M192" i="8"/>
  <c r="K183" i="8"/>
  <c r="M131" i="8"/>
  <c r="K175" i="8"/>
  <c r="M45" i="8"/>
  <c r="K168" i="8"/>
  <c r="M39" i="8"/>
  <c r="K160" i="8"/>
  <c r="M34" i="8"/>
  <c r="K152" i="8"/>
  <c r="M26" i="8"/>
  <c r="K144" i="8"/>
  <c r="M172" i="8"/>
  <c r="K136" i="8"/>
  <c r="M132" i="8"/>
  <c r="K128" i="8"/>
  <c r="M100" i="8"/>
  <c r="K120" i="8"/>
  <c r="M103" i="8"/>
  <c r="K112" i="8"/>
  <c r="M93" i="8"/>
  <c r="K104" i="8"/>
  <c r="M49" i="8"/>
  <c r="K96" i="8"/>
  <c r="M46" i="8"/>
  <c r="K88" i="8"/>
  <c r="M139" i="8"/>
  <c r="K80" i="8"/>
  <c r="M161" i="8"/>
  <c r="K72" i="8"/>
  <c r="M123" i="8"/>
  <c r="K64" i="8"/>
  <c r="M106" i="8"/>
  <c r="K56" i="8"/>
  <c r="M58" i="8"/>
  <c r="K48" i="8"/>
  <c r="M19" i="8"/>
  <c r="K40" i="8"/>
  <c r="M6" i="8"/>
  <c r="K32" i="8"/>
  <c r="M180" i="8"/>
  <c r="K24" i="8"/>
  <c r="M130" i="8"/>
  <c r="K16" i="8"/>
  <c r="M77" i="8"/>
  <c r="K8" i="8"/>
  <c r="M67" i="8"/>
  <c r="K254" i="8"/>
  <c r="M218" i="8"/>
  <c r="K246" i="8"/>
  <c r="M231" i="8"/>
  <c r="K238" i="8"/>
  <c r="M239" i="8"/>
  <c r="K230" i="8"/>
  <c r="M251" i="8"/>
  <c r="K222" i="8"/>
  <c r="M213" i="8"/>
  <c r="K214" i="8"/>
  <c r="M247" i="8"/>
  <c r="K206" i="8"/>
  <c r="M205" i="8"/>
  <c r="K198" i="8"/>
  <c r="M201" i="8"/>
  <c r="K190" i="8"/>
  <c r="M191" i="8"/>
  <c r="K182" i="8"/>
  <c r="M149" i="8"/>
  <c r="M44" i="8"/>
  <c r="K167" i="8"/>
  <c r="M37" i="8"/>
  <c r="K159" i="8"/>
  <c r="M24" i="8"/>
  <c r="K151" i="8"/>
  <c r="M185" i="8"/>
  <c r="K143" i="8"/>
  <c r="K135" i="8"/>
  <c r="M125" i="8"/>
  <c r="K127" i="8"/>
  <c r="M95" i="8"/>
  <c r="K119" i="8"/>
  <c r="M92" i="8"/>
  <c r="K111" i="8"/>
  <c r="M113" i="8"/>
  <c r="K103" i="8"/>
  <c r="M52" i="8"/>
  <c r="K95" i="8"/>
  <c r="M60" i="8"/>
  <c r="K87" i="8"/>
  <c r="M140" i="8"/>
  <c r="K79" i="8"/>
  <c r="M145" i="8"/>
  <c r="K71" i="8"/>
  <c r="M120" i="8"/>
  <c r="K63" i="8"/>
  <c r="M98" i="8"/>
  <c r="K55" i="8"/>
  <c r="M63" i="8"/>
  <c r="K47" i="8"/>
  <c r="M10" i="8"/>
  <c r="K39" i="8"/>
  <c r="M5" i="8"/>
  <c r="K31" i="8"/>
  <c r="M178" i="8"/>
  <c r="K23" i="8"/>
  <c r="M133" i="8"/>
  <c r="K15" i="8"/>
  <c r="M74" i="8"/>
  <c r="K7" i="8"/>
  <c r="M81" i="8"/>
  <c r="K253" i="8"/>
  <c r="M242" i="8"/>
  <c r="K245" i="8"/>
  <c r="M256" i="8"/>
  <c r="K237" i="8"/>
  <c r="M254" i="8"/>
  <c r="K229" i="8"/>
  <c r="M222" i="8"/>
  <c r="K221" i="8"/>
  <c r="M255" i="8"/>
  <c r="K213" i="8"/>
  <c r="M241" i="8"/>
  <c r="K205" i="8"/>
  <c r="M220" i="8"/>
  <c r="K197" i="8"/>
  <c r="M198" i="8"/>
  <c r="K189" i="8"/>
  <c r="M190" i="8"/>
  <c r="K181" i="8"/>
  <c r="M136" i="8"/>
  <c r="K174" i="8"/>
  <c r="M32" i="8"/>
  <c r="K166" i="8"/>
  <c r="M29" i="8"/>
  <c r="K158" i="8"/>
  <c r="M27" i="8"/>
  <c r="K150" i="8"/>
  <c r="M183" i="8"/>
  <c r="K142" i="8"/>
  <c r="M174" i="8"/>
  <c r="K134" i="8"/>
  <c r="M126" i="8"/>
  <c r="K126" i="8"/>
  <c r="M94" i="8"/>
  <c r="K118" i="8"/>
  <c r="M114" i="8"/>
  <c r="K110" i="8"/>
  <c r="M110" i="8"/>
  <c r="K102" i="8"/>
  <c r="M57" i="8"/>
  <c r="K94" i="8"/>
  <c r="M64" i="8"/>
  <c r="K86" i="8"/>
  <c r="M144" i="8"/>
  <c r="K78" i="8"/>
  <c r="M159" i="8"/>
  <c r="K70" i="8"/>
  <c r="M155" i="8"/>
  <c r="K62" i="8"/>
  <c r="M101" i="8"/>
  <c r="K54" i="8"/>
  <c r="M62" i="8"/>
  <c r="K46" i="8"/>
  <c r="M12" i="8"/>
  <c r="K38" i="8"/>
  <c r="M3" i="8"/>
  <c r="K30" i="8"/>
  <c r="M181" i="8"/>
  <c r="K22" i="8"/>
  <c r="M76" i="8"/>
  <c r="K14" i="8"/>
  <c r="M72" i="8"/>
  <c r="K6" i="8"/>
  <c r="M66" i="8"/>
  <c r="K260" i="8"/>
  <c r="M262" i="8"/>
  <c r="K252" i="8"/>
  <c r="M196" i="8"/>
  <c r="K244" i="8"/>
  <c r="M197" i="8"/>
  <c r="K236" i="8"/>
  <c r="M221" i="8"/>
  <c r="K228" i="8"/>
  <c r="M237" i="8"/>
  <c r="K220" i="8"/>
  <c r="M224" i="8"/>
  <c r="K212" i="8"/>
  <c r="M232" i="8"/>
  <c r="K204" i="8"/>
  <c r="M219" i="8"/>
  <c r="K196" i="8"/>
  <c r="M200" i="8"/>
  <c r="K188" i="8"/>
  <c r="M194" i="8"/>
  <c r="K180" i="8"/>
  <c r="M129" i="8"/>
  <c r="K173" i="8"/>
  <c r="M30" i="8"/>
  <c r="K165" i="8"/>
  <c r="M42" i="8"/>
  <c r="K157" i="8"/>
  <c r="M25" i="8"/>
  <c r="K149" i="8"/>
  <c r="M187" i="8"/>
  <c r="K141" i="8"/>
  <c r="M167" i="8"/>
  <c r="K133" i="8"/>
  <c r="M157" i="8"/>
  <c r="K125" i="8"/>
  <c r="M109" i="8"/>
  <c r="K117" i="8"/>
  <c r="M87" i="8"/>
  <c r="K109" i="8"/>
  <c r="M117" i="8"/>
  <c r="K101" i="8"/>
  <c r="M50" i="8"/>
  <c r="K93" i="8"/>
  <c r="M47" i="8"/>
  <c r="K85" i="8"/>
  <c r="M142" i="8"/>
  <c r="K77" i="8"/>
  <c r="M158" i="8"/>
  <c r="K69" i="8"/>
  <c r="M119" i="8"/>
  <c r="K61" i="8"/>
  <c r="M116" i="8"/>
  <c r="K53" i="8"/>
  <c r="M13" i="8"/>
  <c r="K45" i="8"/>
  <c r="M14" i="8"/>
  <c r="K37" i="8"/>
  <c r="M4" i="8"/>
  <c r="K29" i="8"/>
  <c r="M168" i="8"/>
  <c r="K21" i="8"/>
  <c r="M73" i="8"/>
  <c r="K13" i="8"/>
  <c r="M71" i="8"/>
  <c r="K5" i="8"/>
  <c r="M65" i="8"/>
  <c r="K259" i="8"/>
  <c r="M258" i="8"/>
  <c r="K251" i="8"/>
  <c r="M245" i="8"/>
  <c r="K243" i="8"/>
  <c r="M226" i="8"/>
  <c r="K235" i="8"/>
  <c r="M233" i="8"/>
  <c r="K227" i="8"/>
  <c r="M210" i="8"/>
  <c r="K219" i="8"/>
  <c r="M253" i="8"/>
  <c r="K211" i="8"/>
  <c r="M209" i="8"/>
  <c r="K203" i="8"/>
  <c r="M204" i="8"/>
  <c r="K195" i="8"/>
  <c r="M227" i="8"/>
  <c r="K187" i="8"/>
  <c r="M148" i="8"/>
  <c r="K179" i="8"/>
  <c r="M134" i="8"/>
  <c r="K172" i="8"/>
  <c r="M41" i="8"/>
  <c r="K164" i="8"/>
  <c r="M31" i="8"/>
  <c r="K156" i="8"/>
  <c r="M20" i="8"/>
  <c r="K148" i="8"/>
  <c r="M182" i="8"/>
  <c r="K140" i="8"/>
  <c r="M166" i="8"/>
  <c r="K132" i="8"/>
  <c r="M150" i="8"/>
  <c r="K124" i="8"/>
  <c r="M88" i="8"/>
  <c r="K116" i="8"/>
  <c r="M104" i="8"/>
  <c r="K108" i="8"/>
  <c r="M85" i="8"/>
  <c r="K100" i="8"/>
  <c r="M56" i="8"/>
  <c r="K92" i="8"/>
  <c r="M160" i="8"/>
  <c r="K84" i="8"/>
  <c r="M151" i="8"/>
  <c r="K76" i="8"/>
  <c r="M164" i="8"/>
  <c r="K68" i="8"/>
  <c r="M108" i="8"/>
  <c r="K60" i="8"/>
  <c r="M53" i="8"/>
  <c r="K52" i="8"/>
  <c r="M11" i="8"/>
  <c r="K44" i="8"/>
  <c r="M8" i="8"/>
  <c r="K36" i="8"/>
  <c r="M176" i="8"/>
  <c r="K28" i="8"/>
  <c r="M171" i="8"/>
  <c r="K20" i="8"/>
  <c r="M80" i="8"/>
  <c r="K12" i="8"/>
  <c r="M84" i="8"/>
  <c r="K4" i="8"/>
  <c r="M82" i="8"/>
  <c r="K3" i="8"/>
  <c r="O70" i="8"/>
  <c r="B14" i="4"/>
  <c r="B13" i="4"/>
  <c r="S3" i="8" l="1" a="1"/>
  <c r="S3" i="8" s="1"/>
  <c r="H5" i="1"/>
  <c r="H7" i="1" s="1"/>
  <c r="I5" i="1" l="1"/>
  <c r="I7" i="1" s="1"/>
  <c r="J5" i="1" l="1"/>
  <c r="J7" i="1" s="1"/>
  <c r="K5" i="1" l="1"/>
  <c r="K7" i="1" s="1"/>
  <c r="O6" i="3"/>
  <c r="O5" i="3"/>
  <c r="O4" i="3"/>
  <c r="O9" i="3"/>
  <c r="O3" i="3"/>
  <c r="F10" i="1" l="1"/>
  <c r="AW10" i="1" s="1"/>
  <c r="BI30" i="1"/>
  <c r="BJ30" i="1" s="1"/>
  <c r="BI38" i="1"/>
  <c r="BJ38" i="1" s="1"/>
  <c r="BI31" i="1"/>
  <c r="BJ31" i="1" s="1"/>
  <c r="BI39" i="1"/>
  <c r="BJ39" i="1" s="1"/>
  <c r="BI32" i="1"/>
  <c r="BJ32" i="1" s="1"/>
  <c r="BI40" i="1"/>
  <c r="BJ40" i="1" s="1"/>
  <c r="BI33" i="1"/>
  <c r="BJ33" i="1" s="1"/>
  <c r="BI41" i="1"/>
  <c r="BJ41" i="1" s="1"/>
  <c r="BI34" i="1"/>
  <c r="BJ34" i="1" s="1"/>
  <c r="BI42" i="1"/>
  <c r="BJ42" i="1" s="1"/>
  <c r="BI35" i="1"/>
  <c r="BJ35" i="1" s="1"/>
  <c r="BI43" i="1"/>
  <c r="BJ43" i="1" s="1"/>
  <c r="BI28" i="1"/>
  <c r="BJ28" i="1" s="1"/>
  <c r="BI36" i="1"/>
  <c r="BJ36" i="1" s="1"/>
  <c r="BI29" i="1"/>
  <c r="BJ29" i="1" s="1"/>
  <c r="BI37" i="1"/>
  <c r="BJ37" i="1" s="1"/>
  <c r="F29" i="1"/>
  <c r="F30" i="1"/>
  <c r="F31" i="1"/>
  <c r="F39" i="1"/>
  <c r="F32" i="1"/>
  <c r="F40" i="1"/>
  <c r="F33" i="1"/>
  <c r="F34" i="1"/>
  <c r="F42" i="1"/>
  <c r="F41" i="1"/>
  <c r="F35" i="1"/>
  <c r="F43" i="1"/>
  <c r="F28" i="1"/>
  <c r="F36" i="1"/>
  <c r="F37" i="1"/>
  <c r="F38" i="1"/>
  <c r="BI14" i="1"/>
  <c r="BI15" i="1"/>
  <c r="BI16" i="1"/>
  <c r="BI24" i="1"/>
  <c r="BJ24" i="1" s="1"/>
  <c r="BI17" i="1"/>
  <c r="BI25" i="1"/>
  <c r="BJ25" i="1" s="1"/>
  <c r="BI18" i="1"/>
  <c r="BI26" i="1"/>
  <c r="BJ26" i="1" s="1"/>
  <c r="BI19" i="1"/>
  <c r="BI27" i="1"/>
  <c r="BJ27" i="1" s="1"/>
  <c r="BI20" i="1"/>
  <c r="BI21" i="1"/>
  <c r="BI9" i="1"/>
  <c r="BI22" i="1"/>
  <c r="BI23" i="1"/>
  <c r="BI10" i="1"/>
  <c r="BI11" i="1"/>
  <c r="BI12" i="1"/>
  <c r="BI13" i="1"/>
  <c r="F9" i="1"/>
  <c r="AW9" i="1" s="1"/>
  <c r="F24" i="1"/>
  <c r="F14" i="1"/>
  <c r="F22" i="1"/>
  <c r="AW22" i="1" s="1"/>
  <c r="F18" i="1"/>
  <c r="F25" i="1"/>
  <c r="F15" i="1"/>
  <c r="F23" i="1"/>
  <c r="F19" i="1"/>
  <c r="F26" i="1"/>
  <c r="F16" i="1"/>
  <c r="F27" i="1"/>
  <c r="F17" i="1"/>
  <c r="F12" i="1"/>
  <c r="F20" i="1"/>
  <c r="AW20" i="1" s="1"/>
  <c r="F13" i="1"/>
  <c r="F21" i="1"/>
  <c r="AW21" i="1" s="1"/>
  <c r="F11" i="1"/>
  <c r="AW11" i="1" s="1"/>
  <c r="L5" i="1"/>
  <c r="L7" i="1" s="1"/>
  <c r="I72" i="4" l="1"/>
  <c r="AW37" i="1"/>
  <c r="I68" i="4"/>
  <c r="AW33" i="1"/>
  <c r="I71" i="4"/>
  <c r="AW36" i="1"/>
  <c r="I75" i="4"/>
  <c r="AW40" i="1"/>
  <c r="I61" i="4"/>
  <c r="AW26" i="1"/>
  <c r="I62" i="4"/>
  <c r="AW27" i="1"/>
  <c r="I63" i="4"/>
  <c r="AW28" i="1"/>
  <c r="I74" i="4"/>
  <c r="AW39" i="1"/>
  <c r="I58" i="4"/>
  <c r="AW23" i="1"/>
  <c r="I70" i="4"/>
  <c r="AW35" i="1"/>
  <c r="I66" i="4"/>
  <c r="AW31" i="1"/>
  <c r="I59" i="4"/>
  <c r="AW24" i="1"/>
  <c r="I76" i="4"/>
  <c r="AW41" i="1"/>
  <c r="I65" i="4"/>
  <c r="AW30" i="1"/>
  <c r="I78" i="4"/>
  <c r="AW43" i="1"/>
  <c r="I60" i="4"/>
  <c r="AW25" i="1"/>
  <c r="I77" i="4"/>
  <c r="AW42" i="1"/>
  <c r="I64" i="4"/>
  <c r="AW29" i="1"/>
  <c r="I67" i="4"/>
  <c r="AW32" i="1"/>
  <c r="I73" i="4"/>
  <c r="AW38" i="1"/>
  <c r="I69" i="4"/>
  <c r="AW34" i="1"/>
  <c r="I34" i="4"/>
  <c r="P34" i="4"/>
  <c r="I30" i="4"/>
  <c r="P30" i="4"/>
  <c r="I33" i="4"/>
  <c r="P33" i="4"/>
  <c r="I29" i="4"/>
  <c r="P29" i="4"/>
  <c r="I23" i="4"/>
  <c r="P23" i="4"/>
  <c r="I32" i="4"/>
  <c r="P32" i="4"/>
  <c r="I36" i="4"/>
  <c r="P36" i="4"/>
  <c r="I22" i="4"/>
  <c r="P22" i="4"/>
  <c r="I20" i="4"/>
  <c r="P20" i="4"/>
  <c r="I24" i="4"/>
  <c r="P24" i="4"/>
  <c r="I28" i="4"/>
  <c r="P28" i="4"/>
  <c r="I39" i="4"/>
  <c r="P39" i="4"/>
  <c r="I35" i="4"/>
  <c r="P35" i="4"/>
  <c r="I19" i="4"/>
  <c r="P19" i="4"/>
  <c r="I31" i="4"/>
  <c r="P31" i="4"/>
  <c r="I27" i="4"/>
  <c r="P27" i="4"/>
  <c r="I37" i="4"/>
  <c r="P37" i="4"/>
  <c r="I26" i="4"/>
  <c r="P26" i="4"/>
  <c r="I21" i="4"/>
  <c r="P21" i="4"/>
  <c r="I38" i="4"/>
  <c r="P38" i="4"/>
  <c r="I25" i="4"/>
  <c r="P25" i="4"/>
  <c r="AS38" i="1"/>
  <c r="AT38" i="1" s="1"/>
  <c r="AV38" i="1"/>
  <c r="AV34" i="1"/>
  <c r="Q30" i="4" s="1"/>
  <c r="R30" i="4" s="1"/>
  <c r="AS34" i="1"/>
  <c r="AT34" i="1" s="1"/>
  <c r="AS37" i="1"/>
  <c r="AT37" i="1" s="1"/>
  <c r="AV37" i="1"/>
  <c r="Q33" i="4" s="1"/>
  <c r="R33" i="4" s="1"/>
  <c r="AV33" i="1"/>
  <c r="Q29" i="4" s="1"/>
  <c r="R29" i="4" s="1"/>
  <c r="AS33" i="1"/>
  <c r="AT33" i="1" s="1"/>
  <c r="AV36" i="1"/>
  <c r="Q32" i="4" s="1"/>
  <c r="R32" i="4" s="1"/>
  <c r="AS36" i="1"/>
  <c r="AT36" i="1" s="1"/>
  <c r="AV40" i="1"/>
  <c r="Q36" i="4" s="1"/>
  <c r="R36" i="4" s="1"/>
  <c r="AS40" i="1"/>
  <c r="AT40" i="1" s="1"/>
  <c r="AV28" i="1"/>
  <c r="Q24" i="4" s="1"/>
  <c r="R24" i="4" s="1"/>
  <c r="AS28" i="1"/>
  <c r="AT28" i="1" s="1"/>
  <c r="AS32" i="1"/>
  <c r="AT32" i="1" s="1"/>
  <c r="AV32" i="1"/>
  <c r="Q28" i="4" s="1"/>
  <c r="R28" i="4" s="1"/>
  <c r="AV43" i="1"/>
  <c r="Q39" i="4" s="1"/>
  <c r="R39" i="4" s="1"/>
  <c r="AS43" i="1"/>
  <c r="AT43" i="1" s="1"/>
  <c r="AS39" i="1"/>
  <c r="AT39" i="1" s="1"/>
  <c r="AV39" i="1"/>
  <c r="Q35" i="4" s="1"/>
  <c r="R35" i="4" s="1"/>
  <c r="AS35" i="1"/>
  <c r="AT35" i="1" s="1"/>
  <c r="AV35" i="1"/>
  <c r="Q31" i="4" s="1"/>
  <c r="R31" i="4" s="1"/>
  <c r="AV31" i="1"/>
  <c r="Q27" i="4" s="1"/>
  <c r="R27" i="4" s="1"/>
  <c r="AS31" i="1"/>
  <c r="AT31" i="1" s="1"/>
  <c r="AV41" i="1"/>
  <c r="Q37" i="4" s="1"/>
  <c r="R37" i="4" s="1"/>
  <c r="AS41" i="1"/>
  <c r="AT41" i="1" s="1"/>
  <c r="AS30" i="1"/>
  <c r="AT30" i="1" s="1"/>
  <c r="AV30" i="1"/>
  <c r="Q26" i="4" s="1"/>
  <c r="R26" i="4" s="1"/>
  <c r="AV42" i="1"/>
  <c r="Q38" i="4" s="1"/>
  <c r="R38" i="4" s="1"/>
  <c r="AS42" i="1"/>
  <c r="AT42" i="1" s="1"/>
  <c r="AS29" i="1"/>
  <c r="AT29" i="1" s="1"/>
  <c r="AV29" i="1"/>
  <c r="Q25" i="4" s="1"/>
  <c r="R25" i="4" s="1"/>
  <c r="AS27" i="1"/>
  <c r="AT27" i="1" s="1"/>
  <c r="AV27" i="1"/>
  <c r="Q23" i="4" s="1"/>
  <c r="R23" i="4" s="1"/>
  <c r="AV21" i="1"/>
  <c r="AU21" i="1" s="1"/>
  <c r="AS26" i="1"/>
  <c r="AT26" i="1" s="1"/>
  <c r="AV26" i="1"/>
  <c r="Q22" i="4" s="1"/>
  <c r="R22" i="4" s="1"/>
  <c r="AV12" i="1"/>
  <c r="AV19" i="1"/>
  <c r="AU19" i="1" s="1"/>
  <c r="AV14" i="1"/>
  <c r="AV23" i="1"/>
  <c r="Q19" i="4" s="1"/>
  <c r="R19" i="4" s="1"/>
  <c r="AV10" i="1"/>
  <c r="AV15" i="1"/>
  <c r="AV11" i="1"/>
  <c r="AV25" i="1"/>
  <c r="Q21" i="4" s="1"/>
  <c r="R21" i="4" s="1"/>
  <c r="AS25" i="1"/>
  <c r="AT25" i="1" s="1"/>
  <c r="AV16" i="1"/>
  <c r="AV13" i="1"/>
  <c r="AV18" i="1"/>
  <c r="AU18" i="1" s="1"/>
  <c r="AV20" i="1"/>
  <c r="AU20" i="1" s="1"/>
  <c r="AV22" i="1"/>
  <c r="AU22" i="1" s="1"/>
  <c r="AV17" i="1"/>
  <c r="AU17" i="1" s="1"/>
  <c r="AV24" i="1"/>
  <c r="Q20" i="4" s="1"/>
  <c r="R20" i="4" s="1"/>
  <c r="AS24" i="1"/>
  <c r="AT24" i="1" s="1"/>
  <c r="F44" i="1"/>
  <c r="M5" i="1"/>
  <c r="M7" i="1" s="1"/>
  <c r="J34" i="4" l="1"/>
  <c r="Q34" i="4"/>
  <c r="R34" i="4" s="1"/>
  <c r="AU40" i="1"/>
  <c r="J36" i="4"/>
  <c r="AU41" i="1"/>
  <c r="J37" i="4"/>
  <c r="AU39" i="1"/>
  <c r="J74" i="4" s="1"/>
  <c r="J35" i="4"/>
  <c r="AU42" i="1"/>
  <c r="J38" i="4"/>
  <c r="AU43" i="1"/>
  <c r="J39" i="4"/>
  <c r="AU26" i="1"/>
  <c r="J22" i="4"/>
  <c r="AU29" i="1"/>
  <c r="J25" i="4"/>
  <c r="AU32" i="1"/>
  <c r="J28" i="4"/>
  <c r="AU36" i="1"/>
  <c r="BK36" i="1" s="1"/>
  <c r="J32" i="4"/>
  <c r="AU24" i="1"/>
  <c r="J20" i="4"/>
  <c r="AU34" i="1"/>
  <c r="J30" i="4"/>
  <c r="AU28" i="1"/>
  <c r="J24" i="4"/>
  <c r="AU25" i="1"/>
  <c r="J21" i="4"/>
  <c r="AU27" i="1"/>
  <c r="J23" i="4"/>
  <c r="AU31" i="1"/>
  <c r="J27" i="4"/>
  <c r="AU33" i="1"/>
  <c r="J29" i="4"/>
  <c r="AU38" i="1"/>
  <c r="AU30" i="1"/>
  <c r="J26" i="4"/>
  <c r="AU23" i="1"/>
  <c r="J19" i="4"/>
  <c r="AU35" i="1"/>
  <c r="J31" i="4"/>
  <c r="AU37" i="1"/>
  <c r="J33" i="4"/>
  <c r="N5" i="1"/>
  <c r="N7" i="1" s="1"/>
  <c r="M6" i="4"/>
  <c r="O6" i="4"/>
  <c r="M7" i="4"/>
  <c r="O7" i="4"/>
  <c r="M8" i="4"/>
  <c r="O8" i="4"/>
  <c r="M9" i="4"/>
  <c r="O9" i="4"/>
  <c r="M10" i="4"/>
  <c r="O10" i="4"/>
  <c r="M11" i="4"/>
  <c r="O11" i="4"/>
  <c r="M12" i="4"/>
  <c r="O12" i="4"/>
  <c r="M13" i="4"/>
  <c r="O13" i="4"/>
  <c r="M14" i="4"/>
  <c r="O14" i="4"/>
  <c r="M15" i="4"/>
  <c r="O15" i="4"/>
  <c r="M16" i="4"/>
  <c r="O16" i="4"/>
  <c r="M17" i="4"/>
  <c r="O17" i="4"/>
  <c r="M18" i="4"/>
  <c r="O18" i="4"/>
  <c r="O5" i="4"/>
  <c r="M5" i="4"/>
  <c r="F6" i="4"/>
  <c r="F7" i="4"/>
  <c r="F8" i="4"/>
  <c r="F9" i="4"/>
  <c r="F10" i="4"/>
  <c r="F11" i="4"/>
  <c r="F12" i="4"/>
  <c r="F13" i="4"/>
  <c r="F14" i="4"/>
  <c r="F15" i="4"/>
  <c r="F16" i="4"/>
  <c r="F17" i="4"/>
  <c r="F18" i="4"/>
  <c r="F5" i="4"/>
  <c r="C9" i="4"/>
  <c r="BL36" i="1" l="1"/>
  <c r="AX36" i="1" s="1"/>
  <c r="BL40" i="1"/>
  <c r="AX40" i="1" s="1"/>
  <c r="BK38" i="1"/>
  <c r="BL43" i="1"/>
  <c r="AX43" i="1" s="1"/>
  <c r="BK43" i="1"/>
  <c r="K37" i="4"/>
  <c r="J76" i="4"/>
  <c r="K39" i="4"/>
  <c r="J78" i="4"/>
  <c r="K36" i="4"/>
  <c r="J75" i="4"/>
  <c r="K38" i="4"/>
  <c r="J77" i="4"/>
  <c r="K31" i="4"/>
  <c r="J70" i="4"/>
  <c r="K27" i="4"/>
  <c r="J66" i="4"/>
  <c r="K30" i="4"/>
  <c r="J69" i="4"/>
  <c r="K25" i="4"/>
  <c r="J64" i="4"/>
  <c r="K35" i="4"/>
  <c r="K19" i="4"/>
  <c r="J58" i="4"/>
  <c r="K23" i="4"/>
  <c r="J62" i="4"/>
  <c r="K20" i="4"/>
  <c r="J59" i="4"/>
  <c r="K22" i="4"/>
  <c r="J61" i="4"/>
  <c r="K26" i="4"/>
  <c r="J65" i="4"/>
  <c r="K34" i="4"/>
  <c r="J73" i="4"/>
  <c r="K21" i="4"/>
  <c r="J60" i="4"/>
  <c r="K32" i="4"/>
  <c r="J71" i="4"/>
  <c r="BK25" i="1"/>
  <c r="K33" i="4"/>
  <c r="J72" i="4"/>
  <c r="BL25" i="1"/>
  <c r="AX25" i="1" s="1"/>
  <c r="BK40" i="1"/>
  <c r="K29" i="4"/>
  <c r="J68" i="4"/>
  <c r="K24" i="4"/>
  <c r="J63" i="4"/>
  <c r="K28" i="4"/>
  <c r="J67" i="4"/>
  <c r="BL26" i="1"/>
  <c r="AX26" i="1" s="1"/>
  <c r="BL41" i="1"/>
  <c r="AX41" i="1" s="1"/>
  <c r="BL38" i="1"/>
  <c r="AX38" i="1" s="1"/>
  <c r="BL27" i="1"/>
  <c r="AX27" i="1" s="1"/>
  <c r="BL32" i="1"/>
  <c r="AX32" i="1" s="1"/>
  <c r="BK27" i="1"/>
  <c r="BK26" i="1"/>
  <c r="BK33" i="1"/>
  <c r="BK41" i="1"/>
  <c r="BK24" i="1"/>
  <c r="BL28" i="1"/>
  <c r="AX28" i="1" s="1"/>
  <c r="BL24" i="1"/>
  <c r="AX24" i="1" s="1"/>
  <c r="BL35" i="1"/>
  <c r="AX35" i="1" s="1"/>
  <c r="BK34" i="1"/>
  <c r="BK29" i="1"/>
  <c r="BL34" i="1"/>
  <c r="AX34" i="1" s="1"/>
  <c r="BL29" i="1"/>
  <c r="AX29" i="1" s="1"/>
  <c r="BK42" i="1"/>
  <c r="BK39" i="1"/>
  <c r="BL42" i="1"/>
  <c r="AX42" i="1" s="1"/>
  <c r="BL39" i="1"/>
  <c r="AX39" i="1" s="1"/>
  <c r="BK28" i="1"/>
  <c r="BK30" i="1"/>
  <c r="BL30" i="1"/>
  <c r="AX30" i="1" s="1"/>
  <c r="BK31" i="1"/>
  <c r="BL31" i="1"/>
  <c r="AX31" i="1" s="1"/>
  <c r="BK32" i="1"/>
  <c r="BK37" i="1"/>
  <c r="BL37" i="1"/>
  <c r="AX37" i="1" s="1"/>
  <c r="BL33" i="1"/>
  <c r="AX33" i="1" s="1"/>
  <c r="BK35" i="1"/>
  <c r="O5" i="1"/>
  <c r="O7" i="1" s="1"/>
  <c r="O40" i="4"/>
  <c r="H13" i="4"/>
  <c r="H14" i="4"/>
  <c r="H15" i="4"/>
  <c r="H16" i="4"/>
  <c r="H17" i="4"/>
  <c r="H18" i="4"/>
  <c r="P5" i="1" l="1"/>
  <c r="P7" i="1" s="1"/>
  <c r="N9" i="4"/>
  <c r="G9" i="4"/>
  <c r="N11" i="4"/>
  <c r="G11" i="4"/>
  <c r="G8" i="4"/>
  <c r="N8" i="4"/>
  <c r="G7" i="4"/>
  <c r="N7" i="4"/>
  <c r="N10" i="4"/>
  <c r="G10" i="4"/>
  <c r="N12" i="4"/>
  <c r="G12" i="4"/>
  <c r="N16" i="4"/>
  <c r="G16" i="4"/>
  <c r="N18" i="4"/>
  <c r="G18" i="4"/>
  <c r="N17" i="4"/>
  <c r="G17" i="4"/>
  <c r="N15" i="4"/>
  <c r="G15" i="4"/>
  <c r="G14" i="4"/>
  <c r="N14" i="4"/>
  <c r="G13" i="4"/>
  <c r="N13" i="4"/>
  <c r="C5" i="4"/>
  <c r="Q5" i="1" l="1"/>
  <c r="Q7" i="1" s="1"/>
  <c r="R5" i="1" l="1"/>
  <c r="R7" i="1" s="1"/>
  <c r="AR10" i="1"/>
  <c r="AU10" i="1" s="1"/>
  <c r="AR11" i="1"/>
  <c r="AR12" i="1"/>
  <c r="AR13" i="1"/>
  <c r="AR14" i="1"/>
  <c r="AU14" i="1" s="1"/>
  <c r="AR15" i="1"/>
  <c r="AU15" i="1" s="1"/>
  <c r="AR16" i="1"/>
  <c r="AU16" i="1" s="1"/>
  <c r="AU11" i="1" l="1"/>
  <c r="AT52" i="1"/>
  <c r="F5" i="16" s="1"/>
  <c r="H48" i="4"/>
  <c r="AU13" i="1"/>
  <c r="H47" i="4"/>
  <c r="AU12" i="1"/>
  <c r="H12" i="4"/>
  <c r="H51" i="4"/>
  <c r="H11" i="4"/>
  <c r="H50" i="4"/>
  <c r="H10" i="4"/>
  <c r="H49" i="4"/>
  <c r="H46" i="4"/>
  <c r="H45" i="4"/>
  <c r="H6" i="4"/>
  <c r="H9" i="4"/>
  <c r="H8" i="4"/>
  <c r="H7" i="4"/>
  <c r="S5" i="1"/>
  <c r="S7" i="1" s="1"/>
  <c r="AV9" i="1" l="1"/>
  <c r="BJ12" i="1"/>
  <c r="BJ11" i="1"/>
  <c r="BJ13" i="1"/>
  <c r="BL13" i="1" s="1"/>
  <c r="AX13" i="1" s="1"/>
  <c r="T5" i="1"/>
  <c r="T7" i="1" s="1"/>
  <c r="BJ17" i="1"/>
  <c r="BL17" i="1" s="1"/>
  <c r="AX17" i="1" s="1"/>
  <c r="BJ15" i="1"/>
  <c r="BL15" i="1" s="1"/>
  <c r="AX15" i="1" s="1"/>
  <c r="BJ19" i="1"/>
  <c r="BL19" i="1" s="1"/>
  <c r="AX19" i="1" s="1"/>
  <c r="BJ16" i="1"/>
  <c r="BL16" i="1" s="1"/>
  <c r="AX16" i="1" s="1"/>
  <c r="BJ22" i="1"/>
  <c r="BL22" i="1" s="1"/>
  <c r="AX22" i="1" s="1"/>
  <c r="BJ20" i="1"/>
  <c r="BL20" i="1" s="1"/>
  <c r="AX20" i="1" s="1"/>
  <c r="BJ18" i="1"/>
  <c r="BL18" i="1" s="1"/>
  <c r="AX18" i="1" s="1"/>
  <c r="BJ14" i="1"/>
  <c r="BL14" i="1" s="1"/>
  <c r="AX14" i="1" s="1"/>
  <c r="BJ23" i="1"/>
  <c r="BL23" i="1" s="1"/>
  <c r="AX23" i="1" s="1"/>
  <c r="BJ21" i="1"/>
  <c r="BL21" i="1" s="1"/>
  <c r="AX21" i="1" s="1"/>
  <c r="N5" i="4"/>
  <c r="G5" i="4"/>
  <c r="N6" i="4"/>
  <c r="G6" i="4"/>
  <c r="AR9" i="1"/>
  <c r="AR44" i="1" s="1"/>
  <c r="I47" i="1" l="1"/>
  <c r="Z47" i="1"/>
  <c r="AA47" i="1"/>
  <c r="AJ47" i="1"/>
  <c r="O47" i="1"/>
  <c r="AE47" i="1"/>
  <c r="AF47" i="1"/>
  <c r="AN47" i="1"/>
  <c r="K47" i="1"/>
  <c r="AC47" i="1"/>
  <c r="AB47" i="1"/>
  <c r="Q47" i="1"/>
  <c r="AH47" i="1"/>
  <c r="AI47" i="1"/>
  <c r="G47" i="1"/>
  <c r="W47" i="1"/>
  <c r="AD47" i="1"/>
  <c r="M47" i="1"/>
  <c r="N47" i="1"/>
  <c r="T47" i="1"/>
  <c r="S47" i="1"/>
  <c r="AK47" i="1"/>
  <c r="Y47" i="1"/>
  <c r="AP47" i="1"/>
  <c r="H47" i="1"/>
  <c r="P47" i="1"/>
  <c r="L47" i="1"/>
  <c r="R47" i="1"/>
  <c r="AG47" i="1"/>
  <c r="V47" i="1"/>
  <c r="AL47" i="1"/>
  <c r="X47" i="1"/>
  <c r="AM47" i="1"/>
  <c r="AO47" i="1"/>
  <c r="U47" i="1"/>
  <c r="J47" i="1"/>
  <c r="BI44" i="1"/>
  <c r="BL12" i="1"/>
  <c r="AX12" i="1" s="1"/>
  <c r="BL11" i="1"/>
  <c r="AX11" i="1" s="1"/>
  <c r="AU9" i="1"/>
  <c r="I57" i="4"/>
  <c r="I55" i="4"/>
  <c r="I56" i="4"/>
  <c r="I49" i="4"/>
  <c r="I54" i="4"/>
  <c r="I48" i="4"/>
  <c r="I51" i="4"/>
  <c r="I50" i="4"/>
  <c r="I52" i="4"/>
  <c r="I47" i="4"/>
  <c r="I44" i="4"/>
  <c r="I53" i="4"/>
  <c r="I45" i="4"/>
  <c r="I46" i="4"/>
  <c r="H44" i="4"/>
  <c r="H79" i="4" s="1"/>
  <c r="P9" i="4"/>
  <c r="I9" i="4"/>
  <c r="I12" i="4"/>
  <c r="P12" i="4"/>
  <c r="P16" i="4"/>
  <c r="I16" i="4"/>
  <c r="P10" i="4"/>
  <c r="I10" i="4"/>
  <c r="I14" i="4"/>
  <c r="P14" i="4"/>
  <c r="I13" i="4"/>
  <c r="P13" i="4"/>
  <c r="P11" i="4"/>
  <c r="I11" i="4"/>
  <c r="P18" i="4"/>
  <c r="I18" i="4"/>
  <c r="P17" i="4"/>
  <c r="I17" i="4"/>
  <c r="AS19" i="1"/>
  <c r="AT19" i="1" s="1"/>
  <c r="I15" i="4"/>
  <c r="P15" i="4"/>
  <c r="P8" i="4"/>
  <c r="I8" i="4"/>
  <c r="P5" i="4"/>
  <c r="I5" i="4"/>
  <c r="I6" i="4"/>
  <c r="P6" i="4"/>
  <c r="I7" i="4"/>
  <c r="P7" i="4"/>
  <c r="AS10" i="1"/>
  <c r="BJ10" i="1"/>
  <c r="H5" i="4"/>
  <c r="H40" i="4" s="1"/>
  <c r="BJ9" i="1"/>
  <c r="U5" i="1"/>
  <c r="U7" i="1" s="1"/>
  <c r="AS11" i="1"/>
  <c r="AT11" i="1" s="1"/>
  <c r="AS13" i="1"/>
  <c r="AT13" i="1" s="1"/>
  <c r="AS18" i="1"/>
  <c r="AT18" i="1" s="1"/>
  <c r="AS15" i="1"/>
  <c r="AT15" i="1" s="1"/>
  <c r="AS21" i="1"/>
  <c r="AT21" i="1" s="1"/>
  <c r="AS12" i="1"/>
  <c r="AT12" i="1" s="1"/>
  <c r="AS16" i="1"/>
  <c r="AT16" i="1" s="1"/>
  <c r="AS17" i="1"/>
  <c r="AT17" i="1" s="1"/>
  <c r="AS14" i="1"/>
  <c r="AT14" i="1" s="1"/>
  <c r="AS20" i="1"/>
  <c r="AT20" i="1" s="1"/>
  <c r="AS9" i="1"/>
  <c r="AT9" i="1" s="1"/>
  <c r="AS23" i="1"/>
  <c r="AT23" i="1" s="1"/>
  <c r="AS22" i="1"/>
  <c r="AT22" i="1" s="1"/>
  <c r="AU44" i="1" l="1"/>
  <c r="AT53" i="1" s="1"/>
  <c r="F7" i="16" s="1"/>
  <c r="AT51" i="1"/>
  <c r="F3" i="16" s="1"/>
  <c r="BJ44" i="1"/>
  <c r="AT10" i="1"/>
  <c r="AT44" i="1" s="1"/>
  <c r="AS44" i="1"/>
  <c r="BL9" i="1"/>
  <c r="AX9" i="1" s="1"/>
  <c r="Q16" i="4"/>
  <c r="R16" i="4" s="1"/>
  <c r="J18" i="4"/>
  <c r="BK23" i="1"/>
  <c r="BK14" i="1"/>
  <c r="J49" i="4"/>
  <c r="BK12" i="1"/>
  <c r="J47" i="4"/>
  <c r="BK16" i="1"/>
  <c r="J51" i="4"/>
  <c r="BK21" i="1"/>
  <c r="J56" i="4"/>
  <c r="BK17" i="1"/>
  <c r="J52" i="4"/>
  <c r="BK13" i="1"/>
  <c r="J48" i="4"/>
  <c r="BK20" i="1"/>
  <c r="J55" i="4"/>
  <c r="BK18" i="1"/>
  <c r="J53" i="4"/>
  <c r="BK15" i="1"/>
  <c r="J50" i="4"/>
  <c r="BK19" i="1"/>
  <c r="J54" i="4"/>
  <c r="BK22" i="1"/>
  <c r="J57" i="4"/>
  <c r="J5" i="4"/>
  <c r="J16" i="4"/>
  <c r="Q5" i="4"/>
  <c r="R5" i="4" s="1"/>
  <c r="Q18" i="4"/>
  <c r="R18" i="4" s="1"/>
  <c r="V5" i="1"/>
  <c r="V7" i="1" s="1"/>
  <c r="Q10" i="4"/>
  <c r="R10" i="4" s="1"/>
  <c r="J10" i="4"/>
  <c r="Q7" i="4"/>
  <c r="R7" i="4" s="1"/>
  <c r="J7" i="4"/>
  <c r="Q9" i="4"/>
  <c r="R9" i="4" s="1"/>
  <c r="J9" i="4"/>
  <c r="Q8" i="4"/>
  <c r="R8" i="4" s="1"/>
  <c r="J8" i="4"/>
  <c r="J11" i="4"/>
  <c r="Q11" i="4"/>
  <c r="R11" i="4" s="1"/>
  <c r="Q6" i="4"/>
  <c r="R6" i="4" s="1"/>
  <c r="J6" i="4"/>
  <c r="Q12" i="4"/>
  <c r="R12" i="4" s="1"/>
  <c r="J12" i="4"/>
  <c r="Q13" i="4"/>
  <c r="R13" i="4" s="1"/>
  <c r="J13" i="4"/>
  <c r="Q15" i="4"/>
  <c r="R15" i="4" s="1"/>
  <c r="J15" i="4"/>
  <c r="J14" i="4"/>
  <c r="Q14" i="4"/>
  <c r="R14" i="4" s="1"/>
  <c r="Q17" i="4"/>
  <c r="R17" i="4" s="1"/>
  <c r="J17" i="4"/>
  <c r="AS45" i="1" l="1"/>
  <c r="AU45" i="1" s="1"/>
  <c r="B18" i="16" s="1"/>
  <c r="B16" i="16"/>
  <c r="BL10" i="1"/>
  <c r="AX10" i="1" s="1"/>
  <c r="BK10" i="1"/>
  <c r="K6" i="4"/>
  <c r="J45" i="4"/>
  <c r="J46" i="4"/>
  <c r="BK11" i="1"/>
  <c r="BK9" i="1"/>
  <c r="J44" i="4"/>
  <c r="K9" i="4"/>
  <c r="K7" i="4"/>
  <c r="K18" i="4"/>
  <c r="K16" i="4"/>
  <c r="R40" i="4"/>
  <c r="W5" i="1"/>
  <c r="W7" i="1" s="1"/>
  <c r="K12" i="4"/>
  <c r="K11" i="4"/>
  <c r="K5" i="4"/>
  <c r="K15" i="4"/>
  <c r="K13" i="4"/>
  <c r="K8" i="4"/>
  <c r="K14" i="4"/>
  <c r="K10" i="4"/>
  <c r="K17" i="4"/>
  <c r="B17" i="16" l="1"/>
  <c r="AU52" i="1"/>
  <c r="G5" i="16" s="1"/>
  <c r="AV52" i="1"/>
  <c r="H5" i="16" s="1"/>
  <c r="AV51" i="1"/>
  <c r="H3" i="16" s="1"/>
  <c r="AU51" i="1"/>
  <c r="G3" i="16" s="1"/>
  <c r="BK44" i="1"/>
  <c r="AU53" i="1" s="1"/>
  <c r="J79" i="4"/>
  <c r="BL44" i="1"/>
  <c r="X5" i="1"/>
  <c r="X7" i="1" s="1"/>
  <c r="K40" i="4"/>
  <c r="AV53" i="1" l="1"/>
  <c r="G7" i="16"/>
  <c r="Y5" i="1"/>
  <c r="Y7" i="1" s="1"/>
  <c r="H7" i="16" l="1"/>
  <c r="Z5" i="1"/>
  <c r="Z7" i="1" s="1"/>
  <c r="AA5" i="1" l="1"/>
  <c r="AA7" i="1" s="1"/>
  <c r="AB5" i="1" l="1"/>
  <c r="AB7" i="1" s="1"/>
  <c r="AC5" i="1" l="1"/>
  <c r="AC7" i="1" s="1"/>
  <c r="AD5" i="1" l="1"/>
  <c r="AD7" i="1" s="1"/>
  <c r="AE5" i="1" l="1"/>
  <c r="AE7" i="1" s="1"/>
  <c r="AF5" i="1" l="1"/>
  <c r="AF7" i="1" s="1"/>
  <c r="AG5" i="1" l="1"/>
  <c r="AG7" i="1" s="1"/>
  <c r="AH5" i="1" l="1"/>
  <c r="AH7" i="1" s="1"/>
  <c r="AI5" i="1" l="1"/>
  <c r="AI7" i="1" s="1"/>
  <c r="AJ5" i="1" l="1"/>
  <c r="AJ7" i="1" s="1"/>
  <c r="AK5" i="1" l="1"/>
  <c r="AK7" i="1" s="1"/>
  <c r="AL5" i="1" l="1"/>
  <c r="AL7" i="1" s="1"/>
  <c r="AM5" i="1" l="1"/>
  <c r="AM7" i="1" s="1"/>
  <c r="AN5" i="1" l="1"/>
  <c r="AN7" i="1" s="1"/>
  <c r="AO5" i="1" l="1"/>
  <c r="AO7" i="1" s="1"/>
  <c r="AP5" i="1" l="1"/>
  <c r="AP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Barbara Hanville</author>
  </authors>
  <commentList>
    <comment ref="C2" authorId="0" shapeId="0" xr:uid="{B89A987E-79C0-4E67-A3FC-2133B68A2D52}">
      <text>
        <r>
          <rPr>
            <b/>
            <sz val="9"/>
            <color indexed="81"/>
            <rFont val="Tahoma"/>
            <family val="2"/>
          </rPr>
          <t>Works directly with the client to present SOW and close the business</t>
        </r>
      </text>
    </comment>
    <comment ref="E2" authorId="0" shapeId="0" xr:uid="{E18B5EDE-56E1-4E06-B87E-B03AD626378F}">
      <text>
        <r>
          <rPr>
            <b/>
            <sz val="9"/>
            <color indexed="81"/>
            <rFont val="Tahoma"/>
            <family val="2"/>
          </rPr>
          <t>Should match Salesforce Selection</t>
        </r>
      </text>
    </comment>
    <comment ref="C3" authorId="0" shapeId="0" xr:uid="{9752F93B-99B2-41E9-8AC3-15FB8641CBDF}">
      <text>
        <r>
          <rPr>
            <b/>
            <sz val="9"/>
            <color indexed="81"/>
            <rFont val="Tahoma"/>
            <family val="2"/>
          </rPr>
          <t>Delivery, Project Lead, SME who helped to scope and sell the opportunity</t>
        </r>
        <r>
          <rPr>
            <sz val="9"/>
            <color indexed="81"/>
            <rFont val="Tahoma"/>
            <family val="2"/>
          </rPr>
          <t xml:space="preserve">
</t>
        </r>
      </text>
    </comment>
    <comment ref="E3" authorId="0" shapeId="0" xr:uid="{B78E5717-E37A-4BD3-BFC0-6865871200E9}">
      <text>
        <r>
          <rPr>
            <b/>
            <sz val="9"/>
            <color indexed="81"/>
            <rFont val="Tahoma"/>
            <family val="2"/>
          </rPr>
          <t>See chart below to assist in determining the level of risk</t>
        </r>
      </text>
    </comment>
    <comment ref="C4" authorId="0" shapeId="0" xr:uid="{553282FE-00B7-4B40-9628-E1E48D0F86B6}">
      <text>
        <r>
          <rPr>
            <b/>
            <sz val="9"/>
            <color indexed="81"/>
            <rFont val="Tahoma"/>
            <family val="2"/>
          </rPr>
          <t>Practice Lead to assign a resource to this role.</t>
        </r>
      </text>
    </comment>
    <comment ref="B5" authorId="0" shapeId="0" xr:uid="{3EDE53CA-2342-4DEB-8211-C222799DE933}">
      <text>
        <r>
          <rPr>
            <b/>
            <sz val="9"/>
            <color indexed="81"/>
            <rFont val="Tahoma"/>
            <family val="2"/>
          </rPr>
          <t xml:space="preserve">Resource Role:  </t>
        </r>
        <r>
          <rPr>
            <sz val="9"/>
            <color indexed="81"/>
            <rFont val="Tahoma"/>
            <family val="2"/>
          </rPr>
          <t xml:space="preserve">In general this should be the role required for the project if a TBD.  If a resource has been tagged at the time of pricing, the role should be their actual role in Certinia or for pricing purposes you can use a higher role.  A lower role may not be used.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<sst xmlns="http://schemas.openxmlformats.org/spreadsheetml/2006/main" count="6642" uniqueCount="1701">
  <si>
    <t>General Information</t>
  </si>
  <si>
    <t>Blended Rate (w/Discount)</t>
  </si>
  <si>
    <t>Net Margin $  (w/Discount)</t>
  </si>
  <si>
    <t>Net Margin % (w/Discount)</t>
  </si>
  <si>
    <t xml:space="preserve">Client Name (Partner Name):  </t>
  </si>
  <si>
    <t>US
(Goal $195)</t>
  </si>
  <si>
    <t xml:space="preserve">Capability:  </t>
  </si>
  <si>
    <t xml:space="preserve">Service:  </t>
  </si>
  <si>
    <t>India
 (Goal $50)</t>
  </si>
  <si>
    <t xml:space="preserve">Type:  </t>
  </si>
  <si>
    <t xml:space="preserve">Pricing Date:  </t>
  </si>
  <si>
    <t>Total</t>
  </si>
  <si>
    <t>Sales Rep:</t>
  </si>
  <si>
    <t xml:space="preserve">Presales / Delivery: </t>
  </si>
  <si>
    <t xml:space="preserve">Engagement Lead: </t>
  </si>
  <si>
    <t>Fees</t>
  </si>
  <si>
    <t xml:space="preserve">Contract Type: </t>
  </si>
  <si>
    <t xml:space="preserve">Discount Type:  </t>
  </si>
  <si>
    <t xml:space="preserve">Total Fees:  </t>
  </si>
  <si>
    <t xml:space="preserve">Total Discount:  </t>
  </si>
  <si>
    <t xml:space="preserve">Total Discounted Fee:  </t>
  </si>
  <si>
    <t>Client Name (Partner Name):</t>
  </si>
  <si>
    <t>**New Client**</t>
  </si>
  <si>
    <t xml:space="preserve">Pricing Date: </t>
  </si>
  <si>
    <t>v1.7.6</t>
  </si>
  <si>
    <t>Cells with purple headers can be edited</t>
  </si>
  <si>
    <t>Capability/Practice Area:</t>
  </si>
  <si>
    <t>Type:</t>
  </si>
  <si>
    <t>Expansion</t>
  </si>
  <si>
    <t>Service /Project Type:</t>
  </si>
  <si>
    <t>Presales/Delivery:</t>
  </si>
  <si>
    <t>Risk Profile:</t>
  </si>
  <si>
    <t>Low</t>
  </si>
  <si>
    <t>Contract Type:</t>
  </si>
  <si>
    <t>T&amp;M</t>
  </si>
  <si>
    <t>Engagement Lead:</t>
  </si>
  <si>
    <t>Project Start Date:</t>
  </si>
  <si>
    <t>*If you need more than 4 months, unhide the columns between J &amp; AP</t>
  </si>
  <si>
    <t>Discount Type</t>
  </si>
  <si>
    <t xml:space="preserve">NOTE:  Hourly Rate and Bottom Line discounts cannot be combined. </t>
  </si>
  <si>
    <t>Practice</t>
  </si>
  <si>
    <r>
      <t xml:space="preserve">Certinia Resource Role
 </t>
    </r>
    <r>
      <rPr>
        <b/>
        <sz val="8"/>
        <color theme="0"/>
        <rFont val="Calibri"/>
        <family val="2"/>
        <scheme val="minor"/>
      </rPr>
      <t>(role required for the project if TBD; resource's actual role if staffed at the time of pricing)</t>
    </r>
  </si>
  <si>
    <r>
      <t xml:space="preserve">Project Role
 </t>
    </r>
    <r>
      <rPr>
        <b/>
        <sz val="8"/>
        <color theme="0"/>
        <rFont val="Calibri"/>
        <family val="2"/>
        <scheme val="minor"/>
      </rPr>
      <t>(description of skill/area needed, name of resource)
 If Subcontractor include Resource Name and Company and Certinia Resource Role.</t>
    </r>
  </si>
  <si>
    <t>Potential Resource</t>
  </si>
  <si>
    <t>Resource Location</t>
  </si>
  <si>
    <t>Standard Hourly Rate</t>
  </si>
  <si>
    <t>Discount % Applied by Sales Team</t>
  </si>
  <si>
    <t>Total Hours (by Role)</t>
  </si>
  <si>
    <t>Total Fee (by Role)</t>
  </si>
  <si>
    <t>Sales Discount Applied (by Role)</t>
  </si>
  <si>
    <t>Total Fee (w/Rate Discount)</t>
  </si>
  <si>
    <t>Hourly Rate after Discount (Hourly)</t>
  </si>
  <si>
    <t>Hourly Rate after Discount (Bottom Line)</t>
  </si>
  <si>
    <t>Net Margin % by Role</t>
  </si>
  <si>
    <t>Average Cost
 by Role</t>
  </si>
  <si>
    <t>Total Net Cost by Role</t>
  </si>
  <si>
    <t>Total Net Margin by Role</t>
  </si>
  <si>
    <t>Month 1</t>
  </si>
  <si>
    <t>Month 2</t>
  </si>
  <si>
    <t>Month 3</t>
  </si>
  <si>
    <t>Month 4</t>
  </si>
  <si>
    <t>Month 5</t>
  </si>
  <si>
    <t>Month 6</t>
  </si>
  <si>
    <t>Month 7</t>
  </si>
  <si>
    <t>Month 8</t>
  </si>
  <si>
    <t>Month 9</t>
  </si>
  <si>
    <t>Month 10</t>
  </si>
  <si>
    <t>Month 11</t>
  </si>
  <si>
    <t>Month 12</t>
  </si>
  <si>
    <t>Month 13</t>
  </si>
  <si>
    <t>Month 14</t>
  </si>
  <si>
    <t>Month 15</t>
  </si>
  <si>
    <t>Month 16</t>
  </si>
  <si>
    <t>Month 17</t>
  </si>
  <si>
    <t>Month 18</t>
  </si>
  <si>
    <t>Month 19</t>
  </si>
  <si>
    <t>Month 20</t>
  </si>
  <si>
    <t>Month 21</t>
  </si>
  <si>
    <t>Month 22</t>
  </si>
  <si>
    <t>Month 23</t>
  </si>
  <si>
    <t>Month 24</t>
  </si>
  <si>
    <t>Month 25</t>
  </si>
  <si>
    <t>Month 26</t>
  </si>
  <si>
    <t>Month 27</t>
  </si>
  <si>
    <t>Month 28</t>
  </si>
  <si>
    <t>Month 29</t>
  </si>
  <si>
    <t>Month 30</t>
  </si>
  <si>
    <t>Month 31</t>
  </si>
  <si>
    <t>Month 32</t>
  </si>
  <si>
    <t>Month 33</t>
  </si>
  <si>
    <t>Month 34</t>
  </si>
  <si>
    <t>Month 35</t>
  </si>
  <si>
    <t>Month 36</t>
  </si>
  <si>
    <t>Phase</t>
  </si>
  <si>
    <t>EPM_Practice_USA</t>
  </si>
  <si>
    <t>Sr. Project Manager</t>
  </si>
  <si>
    <t>TBD</t>
  </si>
  <si>
    <t>EPM_Practice_USA_-_Planning</t>
  </si>
  <si>
    <t>Application Developer - PLN</t>
  </si>
  <si>
    <t>Mahesh Balla</t>
  </si>
  <si>
    <t>*If you need more than 10 resources, unhide the rows between 19 &amp; 44</t>
  </si>
  <si>
    <t>Bottom Line Disc %</t>
  </si>
  <si>
    <t>Bottom Line Discount Amount</t>
  </si>
  <si>
    <t>Total Fee w/Bottom Line Discount</t>
  </si>
  <si>
    <t>Average Rate</t>
  </si>
  <si>
    <t>Monthly Total Hours</t>
  </si>
  <si>
    <t>Average Discount Applied</t>
  </si>
  <si>
    <t>Total Hours</t>
  </si>
  <si>
    <t>TCV</t>
  </si>
  <si>
    <t>Total Discount</t>
  </si>
  <si>
    <t>TCV (w/Discount)</t>
  </si>
  <si>
    <t>Average Cost</t>
  </si>
  <si>
    <t xml:space="preserve">Total Cost  </t>
  </si>
  <si>
    <t xml:space="preserve">Total Margin </t>
  </si>
  <si>
    <t>Margin %</t>
  </si>
  <si>
    <t>TCV By Month</t>
  </si>
  <si>
    <t>Guiding Principles</t>
  </si>
  <si>
    <t>Target Net Margin</t>
  </si>
  <si>
    <t>Risk Profile</t>
  </si>
  <si>
    <t>Medium</t>
  </si>
  <si>
    <t>High</t>
  </si>
  <si>
    <t>Net
Margin $  (w/Discount)</t>
  </si>
  <si>
    <t>Net
Margin % (w/Discount)</t>
  </si>
  <si>
    <t>Target
Net
 Margin</t>
  </si>
  <si>
    <t>Avoid Milestone based or Fixed Fee Implementation projects - 20% contingency must be added for these projects</t>
  </si>
  <si>
    <t>Project Type</t>
  </si>
  <si>
    <t>Staff Aug / Support</t>
  </si>
  <si>
    <t>Implementation
Managed Services</t>
  </si>
  <si>
    <t>Complex Implementation</t>
  </si>
  <si>
    <t>PM required for Implementation</t>
  </si>
  <si>
    <t>Managed Services (FF)</t>
  </si>
  <si>
    <t>Team Size</t>
  </si>
  <si>
    <t>Small</t>
  </si>
  <si>
    <t>Large</t>
  </si>
  <si>
    <t>Avoid partial utilization except Architects</t>
  </si>
  <si>
    <t>Scope Complexity</t>
  </si>
  <si>
    <t>Basic</t>
  </si>
  <si>
    <t>Complex</t>
  </si>
  <si>
    <t>Bid for MS work on Implemention SOW</t>
  </si>
  <si>
    <t>Possible Scope Changes</t>
  </si>
  <si>
    <t>None</t>
  </si>
  <si>
    <t>Minor</t>
  </si>
  <si>
    <t>Major</t>
  </si>
  <si>
    <t>Engagement Lead role required for support projects at least at 10% utilization. All EPM/CPM Implementation projects require a Project Manager.  Maritza must approve exceptions to this.</t>
  </si>
  <si>
    <t>Contract Value</t>
  </si>
  <si>
    <r>
      <t xml:space="preserve">Managed Services </t>
    </r>
    <r>
      <rPr>
        <b/>
        <sz val="11"/>
        <color theme="1"/>
        <rFont val="Calibri"/>
        <family val="2"/>
        <scheme val="minor"/>
      </rPr>
      <t>must</t>
    </r>
    <r>
      <rPr>
        <sz val="11"/>
        <color theme="1"/>
        <rFont val="Calibri"/>
        <family val="2"/>
        <scheme val="minor"/>
      </rPr>
      <t xml:space="preserve"> include hours/month fixed fee, T&amp;M can be used for overage.</t>
    </r>
  </si>
  <si>
    <t>Use to back into the discount when provided with hourly rates or total fee</t>
  </si>
  <si>
    <t>For SOW Timing Section</t>
  </si>
  <si>
    <t>Discounted</t>
  </si>
  <si>
    <t>Fixed Fee</t>
  </si>
  <si>
    <t>Resource Role /
Hours</t>
  </si>
  <si>
    <t>Months</t>
  </si>
  <si>
    <t>Goal Hourly Rate or Total Fee</t>
  </si>
  <si>
    <t>Donyati Standard Hourly Rate or Total Fee</t>
  </si>
  <si>
    <t>Discount %</t>
  </si>
  <si>
    <t>Resource Role</t>
  </si>
  <si>
    <t>Total Estimated Hours</t>
  </si>
  <si>
    <t>Discounted Hourly Rate</t>
  </si>
  <si>
    <t>Estimated Fee</t>
  </si>
  <si>
    <t>Fixed Hours per Month</t>
  </si>
  <si>
    <t>Hourly rate</t>
  </si>
  <si>
    <t>Monthly Fixed Fee</t>
  </si>
  <si>
    <t>Use to calculate the End Date</t>
  </si>
  <si>
    <t>Start Date</t>
  </si>
  <si>
    <t># weeks</t>
  </si>
  <si>
    <t>End Date</t>
  </si>
  <si>
    <t>Use to convert # Days to # Business Hours</t>
  </si>
  <si>
    <t>Days</t>
  </si>
  <si>
    <t>Business Hours</t>
  </si>
  <si>
    <t>Use to input the actual Contractor Cost (what we are paying the contractor)</t>
  </si>
  <si>
    <t>To change you need permission from Havagi</t>
  </si>
  <si>
    <t>Enter the Net Margin % you want to achieve for this role</t>
  </si>
  <si>
    <t xml:space="preserve">Contractor </t>
  </si>
  <si>
    <t>Hourly Cost</t>
  </si>
  <si>
    <t>OpX Hourly</t>
  </si>
  <si>
    <t>Net Margin %</t>
  </si>
  <si>
    <t>Contractor 1</t>
  </si>
  <si>
    <t>Contractor 2</t>
  </si>
  <si>
    <t>Contractor 3</t>
  </si>
  <si>
    <t>Contractor 4</t>
  </si>
  <si>
    <t>Contractor 5</t>
  </si>
  <si>
    <t>Use to back into the Net Margin % when you have the hourly bill rate</t>
  </si>
  <si>
    <t xml:space="preserve">Goal Hourly Rate </t>
  </si>
  <si>
    <t>Contractor Hourly Cost + OpX Cost</t>
  </si>
  <si>
    <t>Below is the standard price. If you are billing each month, then put 1 hour in each month. The price can be discounted using the Hourly Rate or Bottom Line Discount.</t>
  </si>
  <si>
    <t>Donyati Product</t>
  </si>
  <si>
    <t>Hourly Price</t>
  </si>
  <si>
    <t>DART</t>
  </si>
  <si>
    <t>EPM Cloud Assurance</t>
  </si>
  <si>
    <t>Monthly</t>
  </si>
  <si>
    <t>Hourly Rate</t>
  </si>
  <si>
    <t>Role</t>
  </si>
  <si>
    <t>Name</t>
  </si>
  <si>
    <t>Updated 11/11/2025</t>
  </si>
  <si>
    <t>Cloud_Practice_USA</t>
  </si>
  <si>
    <t>Program Manager</t>
  </si>
  <si>
    <t>Rodrigo Farinazo</t>
  </si>
  <si>
    <t>Michael Stevens</t>
  </si>
  <si>
    <t>Sr. Program Lead</t>
  </si>
  <si>
    <t>Michael J Meier</t>
  </si>
  <si>
    <t>Project Manager</t>
  </si>
  <si>
    <t>Kerri Dittmar</t>
  </si>
  <si>
    <t>Engineer</t>
  </si>
  <si>
    <t>Harrison Koons</t>
  </si>
  <si>
    <t>Program Lead</t>
  </si>
  <si>
    <t>Evan C List</t>
  </si>
  <si>
    <t>Architect</t>
  </si>
  <si>
    <t>Christina Allan</t>
  </si>
  <si>
    <t>Brandon C Wagoner</t>
  </si>
  <si>
    <t>Eric Paul</t>
  </si>
  <si>
    <t>Sean Clark</t>
  </si>
  <si>
    <t>Asha Angalla</t>
  </si>
  <si>
    <t>Gowtham Nelavelli</t>
  </si>
  <si>
    <t>Yoshi Budiyanto</t>
  </si>
  <si>
    <t>Sandeep C Appalaneni</t>
  </si>
  <si>
    <t>EPM_Practice_Canada_-_Consolidation</t>
  </si>
  <si>
    <t>Application Developer</t>
  </si>
  <si>
    <t>Lalit Agarwal</t>
  </si>
  <si>
    <t>EPM_Practice_India_-_Consolidation</t>
  </si>
  <si>
    <t>Sr. Application Lead</t>
  </si>
  <si>
    <t>Aditya Mehta</t>
  </si>
  <si>
    <t>Sr. Application Lead - FCC</t>
  </si>
  <si>
    <t>Saif Ur Rehman</t>
  </si>
  <si>
    <t>Application Lead - FCC</t>
  </si>
  <si>
    <t>Madhurima Burman</t>
  </si>
  <si>
    <t>Sowmya Polishetty</t>
  </si>
  <si>
    <t>Software Engineer</t>
  </si>
  <si>
    <t>DeepuPrakash AJ</t>
  </si>
  <si>
    <t>Sijith M</t>
  </si>
  <si>
    <t>Supriya Mise</t>
  </si>
  <si>
    <t>Sr. Software Engineer</t>
  </si>
  <si>
    <t>Sabaritha Rajendran</t>
  </si>
  <si>
    <t>Rithik Prem</t>
  </si>
  <si>
    <t>Manjunath M P</t>
  </si>
  <si>
    <t>Application Developer - FCC</t>
  </si>
  <si>
    <t>Kartikey Panday</t>
  </si>
  <si>
    <t>Kamalashree Appavu</t>
  </si>
  <si>
    <t>Sr. Solution Architect - FCC</t>
  </si>
  <si>
    <t>Aparna Ottapurakkal Kallada</t>
  </si>
  <si>
    <t>Anand Thota</t>
  </si>
  <si>
    <t>EPM_Practice_India_-_Integration</t>
  </si>
  <si>
    <t>Sr. Solution Architect</t>
  </si>
  <si>
    <t>Disha Chhabria Kukreja</t>
  </si>
  <si>
    <t>Lohith Reddy Pidimarla</t>
  </si>
  <si>
    <t>Shyam Natarajan</t>
  </si>
  <si>
    <t>Ashok Reddy Komineni</t>
  </si>
  <si>
    <t>Solution Architect - DI</t>
  </si>
  <si>
    <t>Prakash Ramchandran</t>
  </si>
  <si>
    <t>Sanjai Ponnuvel</t>
  </si>
  <si>
    <t>Pavithran K</t>
  </si>
  <si>
    <t>Gerigi Charan Kumar</t>
  </si>
  <si>
    <t>Ganesh Jeyaramalingam</t>
  </si>
  <si>
    <t>Rizil Akthar PP</t>
  </si>
  <si>
    <t>Karthik Madheswaran</t>
  </si>
  <si>
    <t>Integration Lead</t>
  </si>
  <si>
    <t>Vignesh Thangavel</t>
  </si>
  <si>
    <t>Shivangi Gopal</t>
  </si>
  <si>
    <t>Sr. Application Developer - DI</t>
  </si>
  <si>
    <t>Santosha Hakki</t>
  </si>
  <si>
    <t>Sr. Integration Developer</t>
  </si>
  <si>
    <t>Prem Ramireddy</t>
  </si>
  <si>
    <t>Application Developer - DI</t>
  </si>
  <si>
    <t>Nidhi M</t>
  </si>
  <si>
    <t>Manju Komara</t>
  </si>
  <si>
    <t>Jamuna Kannan</t>
  </si>
  <si>
    <t>Indira Beeram</t>
  </si>
  <si>
    <t>Anusha M P</t>
  </si>
  <si>
    <t>Sr. Integration Lead</t>
  </si>
  <si>
    <t>Ankur Shrivastava</t>
  </si>
  <si>
    <t>EPM_Practice_India_-_Planning</t>
  </si>
  <si>
    <t>Sr. Application Lead - PLN</t>
  </si>
  <si>
    <t>Anil Kumar Urs</t>
  </si>
  <si>
    <t>Sr. Application Developer</t>
  </si>
  <si>
    <t>Sai Kumar Reddy Gudipally</t>
  </si>
  <si>
    <t>Solution Architect - PLN</t>
  </si>
  <si>
    <t>Anagha Kale</t>
  </si>
  <si>
    <t>Krishna Kranthi Grandhi</t>
  </si>
  <si>
    <t>Rashmi Singh</t>
  </si>
  <si>
    <t>Vani Vollela</t>
  </si>
  <si>
    <t>Uma Garg</t>
  </si>
  <si>
    <t>Sr. Application Developer - PLN</t>
  </si>
  <si>
    <t>Vanaja Nerellakunta</t>
  </si>
  <si>
    <t>Ashu Singh Aswal</t>
  </si>
  <si>
    <t>Syeda Amatul Saboor Huzaifa</t>
  </si>
  <si>
    <t>Vadisela Pavan Kumar Reddy</t>
  </si>
  <si>
    <t>Girinath B</t>
  </si>
  <si>
    <t>Karaneeshwaran K</t>
  </si>
  <si>
    <t>Shreepriya V</t>
  </si>
  <si>
    <t>Saran Jayaprakash</t>
  </si>
  <si>
    <t>Sharmila S</t>
  </si>
  <si>
    <t>Deep Narayan Sharma</t>
  </si>
  <si>
    <t>Application Lead - PLN</t>
  </si>
  <si>
    <t>Visweswari Somaiahgari</t>
  </si>
  <si>
    <t>Shabnam Fairoz</t>
  </si>
  <si>
    <t>Sr. Solution Architect - PLN</t>
  </si>
  <si>
    <t>Rinku Agrawal</t>
  </si>
  <si>
    <t>Kruthika Sidnal</t>
  </si>
  <si>
    <t>Kashinath Manoharan</t>
  </si>
  <si>
    <t>Indumathi Peraiyur Chandrasekar</t>
  </si>
  <si>
    <t>Balaji Venkatachalam</t>
  </si>
  <si>
    <t>Ezekiel O'Neill</t>
  </si>
  <si>
    <t>Principal Architect</t>
  </si>
  <si>
    <t>Joseph W Aultman</t>
  </si>
  <si>
    <t>Murali Konuri</t>
  </si>
  <si>
    <t>Dusty Johnson</t>
  </si>
  <si>
    <t>Functional Lead</t>
  </si>
  <si>
    <t>Christopher G Hallock</t>
  </si>
  <si>
    <t>Application Lead</t>
  </si>
  <si>
    <t>Julieta Juarez</t>
  </si>
  <si>
    <t>Solution Architect - FCC</t>
  </si>
  <si>
    <t>Gary Hewstone</t>
  </si>
  <si>
    <t>EPM_Practice_USA_-_Consolidation</t>
  </si>
  <si>
    <t>Anusha Anala</t>
  </si>
  <si>
    <t>Solution Architect</t>
  </si>
  <si>
    <t>William J Posey</t>
  </si>
  <si>
    <t>Raminder Singh Sidhu</t>
  </si>
  <si>
    <t>Vikram Krishnamoorthy</t>
  </si>
  <si>
    <t>EPM_Practice_USA_-_Integration</t>
  </si>
  <si>
    <t>Vasantha K Raman</t>
  </si>
  <si>
    <t>Robert J Gideon</t>
  </si>
  <si>
    <t>Sr. Application Support Lead</t>
  </si>
  <si>
    <t>Rabinder Madan</t>
  </si>
  <si>
    <t>Matthew Janecek</t>
  </si>
  <si>
    <t>Harisingh Janakiram</t>
  </si>
  <si>
    <t>Glen Allen</t>
  </si>
  <si>
    <t>EPM_Practice_USA_-_Managed_Services</t>
  </si>
  <si>
    <t>Michael Schwarz</t>
  </si>
  <si>
    <t>Dean DeRenzo</t>
  </si>
  <si>
    <t>Application Support Lead - FCC</t>
  </si>
  <si>
    <t>Saikiran Kodari</t>
  </si>
  <si>
    <t>Rupali Khedekar</t>
  </si>
  <si>
    <t>Sr. Application Support Lead - FCC</t>
  </si>
  <si>
    <t>Randal Heideman</t>
  </si>
  <si>
    <t>Kevin M Fiddes</t>
  </si>
  <si>
    <t>Dyana Karcher</t>
  </si>
  <si>
    <t>Paul J Lewis</t>
  </si>
  <si>
    <t>Angela Wilcox</t>
  </si>
  <si>
    <t>Application Support Lead - EPB</t>
  </si>
  <si>
    <t>Manohar Vanamadi</t>
  </si>
  <si>
    <t>Ajith Metharayil John</t>
  </si>
  <si>
    <t>John Pak</t>
  </si>
  <si>
    <t>Kamalakannan Sriramulu</t>
  </si>
  <si>
    <t>Raziuddin Mohammed</t>
  </si>
  <si>
    <t>Dennis Hogan</t>
  </si>
  <si>
    <t>Aleaha Peterson</t>
  </si>
  <si>
    <t>Alfred Wu</t>
  </si>
  <si>
    <t>ERP_Practice_Argentina</t>
  </si>
  <si>
    <t>Santiago Ezequiel Massetta</t>
  </si>
  <si>
    <t>Federico Bosnjak</t>
  </si>
  <si>
    <t>Sr. Functional Lead</t>
  </si>
  <si>
    <t>Tomas Jamui</t>
  </si>
  <si>
    <t>Mariano Javier Vidal</t>
  </si>
  <si>
    <t>Guillermo Elizeche</t>
  </si>
  <si>
    <t>ERP_Practice_Brazil</t>
  </si>
  <si>
    <t>Joao R Neto</t>
  </si>
  <si>
    <t>ERP_Practice_CzechRepublic</t>
  </si>
  <si>
    <t>Saba Khais</t>
  </si>
  <si>
    <t>ERP_Practice_Germany</t>
  </si>
  <si>
    <t>Principal</t>
  </si>
  <si>
    <t>Christian Huber</t>
  </si>
  <si>
    <t>ERP_Practice_India</t>
  </si>
  <si>
    <t>Ankush Virender</t>
  </si>
  <si>
    <t>Pradeep Kumar Yennabathula</t>
  </si>
  <si>
    <t>Venkatesh Bande</t>
  </si>
  <si>
    <t>Nazeer Ahamad Shaik</t>
  </si>
  <si>
    <t>Mani Krishna Ponnaganti</t>
  </si>
  <si>
    <t>Utkarsh Ulhas Karwa</t>
  </si>
  <si>
    <t>Vijay Bheemanathini</t>
  </si>
  <si>
    <t>Raju Karre</t>
  </si>
  <si>
    <t>Shashank Jain</t>
  </si>
  <si>
    <t>Arpit Modi</t>
  </si>
  <si>
    <t>Sanchit Agarwal</t>
  </si>
  <si>
    <t>Praneetha Goduguluri</t>
  </si>
  <si>
    <t>ERP_Practice_Mexico</t>
  </si>
  <si>
    <t>Melvin Benitez</t>
  </si>
  <si>
    <t>ERP_Practice_Spain</t>
  </si>
  <si>
    <t>Techno-Functional Finance Lead</t>
  </si>
  <si>
    <t>Bruce Murray</t>
  </si>
  <si>
    <t>ERP_Practice_USA</t>
  </si>
  <si>
    <t>Cristina Purice</t>
  </si>
  <si>
    <t>Brian Kotch</t>
  </si>
  <si>
    <t>Application Support Lead</t>
  </si>
  <si>
    <t>Rick D Humphress</t>
  </si>
  <si>
    <t>Elizabeth Stallings</t>
  </si>
  <si>
    <t>Veera Gandreti</t>
  </si>
  <si>
    <t>Sean Stillwell</t>
  </si>
  <si>
    <t>Benjamin Lyskawa</t>
  </si>
  <si>
    <t>Venkateshwar Reddy</t>
  </si>
  <si>
    <t>Suresh Lingutla</t>
  </si>
  <si>
    <t>Vasanth Krishnamoorthy</t>
  </si>
  <si>
    <t>Muthukumar Kumar</t>
  </si>
  <si>
    <t>Karthic Sekar</t>
  </si>
  <si>
    <t>Srinivasa Uppada</t>
  </si>
  <si>
    <t>Sean Imolehin</t>
  </si>
  <si>
    <t>Roland Morgan</t>
  </si>
  <si>
    <t>Pandian Veluchamy</t>
  </si>
  <si>
    <t>Matt Paine</t>
  </si>
  <si>
    <t>Subrahmanyam Bodapati</t>
  </si>
  <si>
    <t>Salil Diskalkar</t>
  </si>
  <si>
    <t>Muni Pullaganti</t>
  </si>
  <si>
    <t>Tomer Sapir</t>
  </si>
  <si>
    <t>Pamidimarri Shankar</t>
  </si>
  <si>
    <t>Anil Ganipineni</t>
  </si>
  <si>
    <t>EPM_Practice_India</t>
  </si>
  <si>
    <t>Arnold Infant</t>
  </si>
  <si>
    <t>Anju Kumari Vaishnav</t>
  </si>
  <si>
    <t>Surabhi Rai</t>
  </si>
  <si>
    <t>Project Coordinator</t>
  </si>
  <si>
    <t>Martha L Paniagua-Fowler</t>
  </si>
  <si>
    <t>Ravirajan S Munnirpallam</t>
  </si>
  <si>
    <t>Nickolas Devoe</t>
  </si>
  <si>
    <t>Sr. Change Manager</t>
  </si>
  <si>
    <t>Melissa O'Blenis</t>
  </si>
  <si>
    <t>Shanka Wickramasinghe</t>
  </si>
  <si>
    <t>Maritza Armagan</t>
  </si>
  <si>
    <t>Andrea E Anderson</t>
  </si>
  <si>
    <t>PS_Practice_USA</t>
  </si>
  <si>
    <t>Anastacia Weaver</t>
  </si>
  <si>
    <t>Ian Perrin</t>
  </si>
  <si>
    <t>Asia A Carter</t>
  </si>
  <si>
    <t>George McClelland</t>
  </si>
  <si>
    <t>Sr. Program Manager</t>
  </si>
  <si>
    <t>Christopher Couture</t>
  </si>
  <si>
    <t>Christopher Tilden</t>
  </si>
  <si>
    <t>Tanushree Joshi</t>
  </si>
  <si>
    <t>Jeneen McNally</t>
  </si>
  <si>
    <t>TS_Practice_India</t>
  </si>
  <si>
    <t>Business/Data Analyst</t>
  </si>
  <si>
    <t>Surendhar Kumar Paramananthan</t>
  </si>
  <si>
    <t>DevOps Engineer</t>
  </si>
  <si>
    <t>Pooja Parmeshwar Dollin</t>
  </si>
  <si>
    <t>Iti Agrawal</t>
  </si>
  <si>
    <t>Developer</t>
  </si>
  <si>
    <t>Rajni Harsha</t>
  </si>
  <si>
    <t>Sowmiya Ramesh</t>
  </si>
  <si>
    <t>ShubhamSaurabh Choudhary</t>
  </si>
  <si>
    <t>Srinivas Rao Oggi</t>
  </si>
  <si>
    <t>Devadarshini D</t>
  </si>
  <si>
    <t>QA Tester - Automation</t>
  </si>
  <si>
    <t>Suyash Bhalinge</t>
  </si>
  <si>
    <t>Kaif Jamil</t>
  </si>
  <si>
    <t>Isha Sharma</t>
  </si>
  <si>
    <t>Manish N Gond</t>
  </si>
  <si>
    <t>Support Engineer</t>
  </si>
  <si>
    <t>Govind Biradar</t>
  </si>
  <si>
    <t>Palak Pasari</t>
  </si>
  <si>
    <t>Sr. QA Tester - Manual</t>
  </si>
  <si>
    <t>Mansur Shaikh</t>
  </si>
  <si>
    <t>Sr. Developer</t>
  </si>
  <si>
    <t>Yagnik Sakhiya</t>
  </si>
  <si>
    <t>Shikha Yadav</t>
  </si>
  <si>
    <t>Anju V S</t>
  </si>
  <si>
    <t>Sr. Data Engineer</t>
  </si>
  <si>
    <t>Varun Krishnadas</t>
  </si>
  <si>
    <t>Anshika Jain</t>
  </si>
  <si>
    <t>Sree Vignesh A K</t>
  </si>
  <si>
    <t>Govind Turkar</t>
  </si>
  <si>
    <t>Yukendra Kumar R M</t>
  </si>
  <si>
    <t>Service Delivery Manager</t>
  </si>
  <si>
    <t>Atul Bhardwaj</t>
  </si>
  <si>
    <t>Gowtham Periasamy</t>
  </si>
  <si>
    <t>Kshitij Mall</t>
  </si>
  <si>
    <t>Syam Sundar Ethakota</t>
  </si>
  <si>
    <t>Vigneshwaran Arumugam</t>
  </si>
  <si>
    <t>Arnav Tyagi</t>
  </si>
  <si>
    <t>Parimala Ganesh</t>
  </si>
  <si>
    <t>Rohan Kapoor</t>
  </si>
  <si>
    <t>Mohammed Aleemullah</t>
  </si>
  <si>
    <t>Sr. QA Tester - Automation</t>
  </si>
  <si>
    <t>Velmurugananthan Singaravel</t>
  </si>
  <si>
    <t>Technical Lead</t>
  </si>
  <si>
    <t>Karan KrishnaKumar Nair</t>
  </si>
  <si>
    <t>Arun Thakur</t>
  </si>
  <si>
    <t>Rahul Madev Gavane</t>
  </si>
  <si>
    <t>Sanjay G Gouda</t>
  </si>
  <si>
    <t>Rajesh Kotian</t>
  </si>
  <si>
    <t>Lalit Kumar Sahu</t>
  </si>
  <si>
    <t>Kishore Kumar RR</t>
  </si>
  <si>
    <t>Shyamala Rajappa</t>
  </si>
  <si>
    <t>Virachith Reddy Yeruva</t>
  </si>
  <si>
    <t>Karanraj S</t>
  </si>
  <si>
    <t>Parimala Gadhi</t>
  </si>
  <si>
    <t>Simran F</t>
  </si>
  <si>
    <t>Tamilselvi Vellingiri</t>
  </si>
  <si>
    <t>QA Tester - Manual</t>
  </si>
  <si>
    <t>Yogalakshmi R</t>
  </si>
  <si>
    <t>Vidhya Subramaniam</t>
  </si>
  <si>
    <t>Sahitya Chadaram</t>
  </si>
  <si>
    <t>Divya M</t>
  </si>
  <si>
    <t>Navashanmugam Asokan</t>
  </si>
  <si>
    <t>Sarankumar Kanagaraj</t>
  </si>
  <si>
    <t>Mithila Sree Yeruva</t>
  </si>
  <si>
    <t>Karthickeyyan Perumalsamy</t>
  </si>
  <si>
    <t>Swarna Maran</t>
  </si>
  <si>
    <t>Krithika Balasubramani</t>
  </si>
  <si>
    <t>Suhail Pasha</t>
  </si>
  <si>
    <t>Dhakshnamoorthi Tamilmani</t>
  </si>
  <si>
    <t>Raghul Vijay R</t>
  </si>
  <si>
    <t>Balaji Chandrasekar</t>
  </si>
  <si>
    <t>Subash Balakrishnan</t>
  </si>
  <si>
    <t>Shanmugapriya Velusamy</t>
  </si>
  <si>
    <t>Santhosh Manikantan</t>
  </si>
  <si>
    <t>Raviraj Narayanan</t>
  </si>
  <si>
    <t>Ravi Teja Adari</t>
  </si>
  <si>
    <t>Sr. Technical Lead</t>
  </si>
  <si>
    <t>Ram Prasad Reddy Siddireddy</t>
  </si>
  <si>
    <t>Sr. DBA</t>
  </si>
  <si>
    <t>Priyanka Nagesh Ladage</t>
  </si>
  <si>
    <t>Prakash Gummadi</t>
  </si>
  <si>
    <t>Pallavi Ajinkya Shelke</t>
  </si>
  <si>
    <t>Maniyarasan Nagarajan</t>
  </si>
  <si>
    <t>Madhu Kochar</t>
  </si>
  <si>
    <t>Kunhi Ahamed Faizan</t>
  </si>
  <si>
    <t>Karunakaran Manoharan</t>
  </si>
  <si>
    <t>Isacc Stewart W</t>
  </si>
  <si>
    <t>Gogilavani VasanthaKumar</t>
  </si>
  <si>
    <t>Giridhar Alakkadan</t>
  </si>
  <si>
    <t>Firos K</t>
  </si>
  <si>
    <t>Dhanalakshmi Arunagiri</t>
  </si>
  <si>
    <t>Chaithra H S</t>
  </si>
  <si>
    <t>Benazir Mohammed</t>
  </si>
  <si>
    <t>Ashwini Raghavendran</t>
  </si>
  <si>
    <t>Arpith Kumar Sudhakar</t>
  </si>
  <si>
    <t>Ankit Kumar Singh</t>
  </si>
  <si>
    <t>Anirudh Pedaprolu</t>
  </si>
  <si>
    <t>Aditya Ganesh Shanbhag</t>
  </si>
  <si>
    <t>TS_Practice_USA</t>
  </si>
  <si>
    <t>Prashant Verma</t>
  </si>
  <si>
    <t>Gerard M Montague</t>
  </si>
  <si>
    <t>Rajesh K Varakala</t>
  </si>
  <si>
    <t>Sr. Architect</t>
  </si>
  <si>
    <t>Jai K Jain</t>
  </si>
  <si>
    <t>Danielle Duncan</t>
  </si>
  <si>
    <t>Amol S Ghalke</t>
  </si>
  <si>
    <t>Security Engineer</t>
  </si>
  <si>
    <t>Meghana Bachina</t>
  </si>
  <si>
    <t>Babu Shaik</t>
  </si>
  <si>
    <t>Suma Sri Amujuri</t>
  </si>
  <si>
    <t>Agesh Yedugani</t>
  </si>
  <si>
    <t>Sivasai Yellamraju</t>
  </si>
  <si>
    <t>Rahul Pittala</t>
  </si>
  <si>
    <t>Kavitha Marichetty</t>
  </si>
  <si>
    <t>Shikder Al Zahid</t>
  </si>
  <si>
    <t>Steven Heaster</t>
  </si>
  <si>
    <t>Mustafa Mezaal</t>
  </si>
  <si>
    <t>Varun Dravidam</t>
  </si>
  <si>
    <t>Murtaza Halwadwala</t>
  </si>
  <si>
    <t>Jinali Kamdar</t>
  </si>
  <si>
    <t>Week 1 Date is the Monday of the week of the Project Start Date on the Pricing Sheet tab</t>
  </si>
  <si>
    <t>Timeline in Weeks</t>
  </si>
  <si>
    <t>Week #</t>
  </si>
  <si>
    <t>Project Phases</t>
  </si>
  <si>
    <t>Mobilize</t>
  </si>
  <si>
    <t>Requirements</t>
  </si>
  <si>
    <t>Design</t>
  </si>
  <si>
    <t>Application Build / Unit Testing</t>
  </si>
  <si>
    <t>Data Integrations</t>
  </si>
  <si>
    <t>Report Build</t>
  </si>
  <si>
    <t>Performance Testing Prep &amp; Execution</t>
  </si>
  <si>
    <t>SIT Prep</t>
  </si>
  <si>
    <t>SIT Execute &amp; Remediate</t>
  </si>
  <si>
    <t>UAT Prep</t>
  </si>
  <si>
    <t>UAT Execute &amp; Remediate</t>
  </si>
  <si>
    <t>Training Prep</t>
  </si>
  <si>
    <t>Training Delivery</t>
  </si>
  <si>
    <t>Data Validation</t>
  </si>
  <si>
    <t xml:space="preserve">Reconciliation / Client sign-off </t>
  </si>
  <si>
    <t>Parallel #1</t>
  </si>
  <si>
    <t>Parallel #2</t>
  </si>
  <si>
    <t>Go Live</t>
  </si>
  <si>
    <t>Post Production Support / Hypercare</t>
  </si>
  <si>
    <t>Holidays</t>
  </si>
  <si>
    <t>Project Manager  (FTE combine US / India)</t>
  </si>
  <si>
    <t xml:space="preserve">Architect </t>
  </si>
  <si>
    <t>FCC / Planning Lead Developer (US)</t>
  </si>
  <si>
    <t>FCC / Planning Developer (India)</t>
  </si>
  <si>
    <t>Data Integration Lead Developer (US)</t>
  </si>
  <si>
    <t>Data Integration Developer (India)</t>
  </si>
  <si>
    <t>Narrative Reporting Lead</t>
  </si>
  <si>
    <t xml:space="preserve">Mobilize </t>
  </si>
  <si>
    <t xml:space="preserve">Requirements </t>
  </si>
  <si>
    <t>Build</t>
  </si>
  <si>
    <t>Testing</t>
  </si>
  <si>
    <t>Training</t>
  </si>
  <si>
    <t>Parallel Testing</t>
  </si>
  <si>
    <t>HyperCare</t>
  </si>
  <si>
    <t xml:space="preserve">1. Program Objective </t>
  </si>
  <si>
    <t>1. Scope Alignment &amp; Requirements Preparation</t>
  </si>
  <si>
    <t xml:space="preserve">1. Design Sessions for Requirements </t>
  </si>
  <si>
    <t xml:space="preserve">1. Application Development &amp; Unit Testing </t>
  </si>
  <si>
    <t xml:space="preserve">1. Performance Testing </t>
  </si>
  <si>
    <t>1. Train-the-Trainer</t>
  </si>
  <si>
    <t>1. Parallel Test support 
(required for FCC | optional for Planning)</t>
  </si>
  <si>
    <t>1. Production Support</t>
  </si>
  <si>
    <t>Vision &amp; Goals</t>
  </si>
  <si>
    <t>Conduct a scoping session to determine immediate needs and long-term goals.</t>
  </si>
  <si>
    <t xml:space="preserve">Current state process review </t>
  </si>
  <si>
    <t>Dimensions, members, primary hiearhies and alternate hierarchies</t>
  </si>
  <si>
    <t>Performance expections / benchmarks</t>
  </si>
  <si>
    <t>Training Guides</t>
  </si>
  <si>
    <t>Client led non-quarter end close | Donyati support</t>
  </si>
  <si>
    <t>Challenges &amp; Priorities</t>
  </si>
  <si>
    <t xml:space="preserve">Gather Requirements for desired end state processes </t>
  </si>
  <si>
    <t xml:space="preserve">Conduct design workshops to flesh-out requirements </t>
  </si>
  <si>
    <t>Data Integrations sources and targets</t>
  </si>
  <si>
    <t>Performance Test Plan</t>
  </si>
  <si>
    <t>Training Exercises</t>
  </si>
  <si>
    <t>Client led quarter end close | Donyati Support</t>
  </si>
  <si>
    <t xml:space="preserve">Workshops to review and finalize RTM </t>
  </si>
  <si>
    <t xml:space="preserve">Table Read of Design Document </t>
  </si>
  <si>
    <t xml:space="preserve">Calculations / Rules </t>
  </si>
  <si>
    <t xml:space="preserve">Frequently Asked Questions (FAQ) </t>
  </si>
  <si>
    <t>2. Governance &amp; Team Structure</t>
  </si>
  <si>
    <t>Workflows</t>
  </si>
  <si>
    <t>2. System Integration Testing (SIT)</t>
  </si>
  <si>
    <t>Deliver Instructor Led  (ILT)</t>
  </si>
  <si>
    <t>2. Deliverables</t>
  </si>
  <si>
    <t>Establish Steering Committee</t>
  </si>
  <si>
    <t xml:space="preserve">2. Deliverables </t>
  </si>
  <si>
    <t>Reports</t>
  </si>
  <si>
    <t>SIT Test Plan</t>
  </si>
  <si>
    <t xml:space="preserve">none </t>
  </si>
  <si>
    <t>Establish Core Team</t>
  </si>
  <si>
    <t>Schedule Requirements Workshops</t>
  </si>
  <si>
    <t>Design Workshops</t>
  </si>
  <si>
    <t xml:space="preserve">Data Conversion &amp; Mapping </t>
  </si>
  <si>
    <t>SIT Tracking tool (Jira, DevOps, Excel)</t>
  </si>
  <si>
    <t>Establish SMEs for functional processes and IT</t>
  </si>
  <si>
    <t>Requirements Traceablity Matrix (RTM)</t>
  </si>
  <si>
    <t xml:space="preserve">Detailed Design Document </t>
  </si>
  <si>
    <t>Deployment and Cut-over Plan</t>
  </si>
  <si>
    <t>TOLL GATE - Go Live approval</t>
  </si>
  <si>
    <t xml:space="preserve">Establish Governance Board </t>
  </si>
  <si>
    <t xml:space="preserve">Sign off on RTM </t>
  </si>
  <si>
    <t xml:space="preserve">Updated timeline incorporating design requirments </t>
  </si>
  <si>
    <t>2. User Acceptace Testing (UAT)</t>
  </si>
  <si>
    <t>Training Materials</t>
  </si>
  <si>
    <t xml:space="preserve">Establish Project Management structure and RACI </t>
  </si>
  <si>
    <t xml:space="preserve">Sign-off on Design Document </t>
  </si>
  <si>
    <t>2. Security</t>
  </si>
  <si>
    <t xml:space="preserve">Client approved UAT Scripts </t>
  </si>
  <si>
    <t>TOLL GATE - approval of Requirements Traceability Matrix (RTM)</t>
  </si>
  <si>
    <t xml:space="preserve">Updated budget and staffing model based on Design </t>
  </si>
  <si>
    <t xml:space="preserve">User security &amp; groups </t>
  </si>
  <si>
    <t xml:space="preserve">UAT tracking tool (Jira, DevOps, Excel) </t>
  </si>
  <si>
    <t>FAQ Sheets</t>
  </si>
  <si>
    <t xml:space="preserve">3. Project Planning &amp; Budgeting </t>
  </si>
  <si>
    <t xml:space="preserve">Change Order for scope change from initial SOW </t>
  </si>
  <si>
    <t xml:space="preserve">UAT Tester training </t>
  </si>
  <si>
    <t xml:space="preserve">Draft High Level implementation timeline (weeks / task) </t>
  </si>
  <si>
    <t>Roadmap - Phased Implementation plan</t>
  </si>
  <si>
    <t xml:space="preserve">3. Deliverables </t>
  </si>
  <si>
    <t xml:space="preserve">Security set up </t>
  </si>
  <si>
    <t>Develop budget vs. actual tracking template for financial transparency</t>
  </si>
  <si>
    <t xml:space="preserve">Instance Strategy </t>
  </si>
  <si>
    <t xml:space="preserve">SmartView client install </t>
  </si>
  <si>
    <t>Risk, Action, Issue, Decision (RAID) Logs</t>
  </si>
  <si>
    <t>TOLL GATE - approval of design document, timeline and budget</t>
  </si>
  <si>
    <t>Architecture Diagram</t>
  </si>
  <si>
    <t>Data Conversion &amp; Validation Strategy</t>
  </si>
  <si>
    <t>3. Deliverables</t>
  </si>
  <si>
    <t>4. Communications</t>
  </si>
  <si>
    <t>Testing Strategy</t>
  </si>
  <si>
    <t xml:space="preserve">Approved Performance </t>
  </si>
  <si>
    <t xml:space="preserve">Establish Status Meeting cadence </t>
  </si>
  <si>
    <t>Training Strategy</t>
  </si>
  <si>
    <t>SIT Exit Criteria sign off</t>
  </si>
  <si>
    <t xml:space="preserve">Establish Steering Committee cadence </t>
  </si>
  <si>
    <t>Change Management Strategy</t>
  </si>
  <si>
    <t>UAT Exit Criteria sign off</t>
  </si>
  <si>
    <t>Schedule Requirements Sessions</t>
  </si>
  <si>
    <t>Performance Testing Plan</t>
  </si>
  <si>
    <t>System Integration Test (SIT) Plan</t>
  </si>
  <si>
    <t xml:space="preserve">TOLL GATE - Training Entrance Criteria sign off </t>
  </si>
  <si>
    <t xml:space="preserve">5. Deliverables </t>
  </si>
  <si>
    <t>User Acceptance Test (UAT) Plan</t>
  </si>
  <si>
    <t xml:space="preserve">Project Charter </t>
  </si>
  <si>
    <t>User Acceptance Test Scripts</t>
  </si>
  <si>
    <t xml:space="preserve">Microsoft / Smartsheet Project Schedule  </t>
  </si>
  <si>
    <t>Parallel Test Plan</t>
  </si>
  <si>
    <t>Budget Tracker</t>
  </si>
  <si>
    <t>Training Documents</t>
  </si>
  <si>
    <t>Project Status Report</t>
  </si>
  <si>
    <t>Admin Guides</t>
  </si>
  <si>
    <t>Project RACI</t>
  </si>
  <si>
    <t>UAT Entrance &amp; Exit Criteria</t>
  </si>
  <si>
    <t>RAID Logs</t>
  </si>
  <si>
    <t>Training Entrance &amp; Exit Criteria</t>
  </si>
  <si>
    <t xml:space="preserve">Communication Plan </t>
  </si>
  <si>
    <t>Parallel Entrance &amp; Exit Criteria</t>
  </si>
  <si>
    <t xml:space="preserve">Scope Management Plan </t>
  </si>
  <si>
    <t>Go Live Checklist</t>
  </si>
  <si>
    <t xml:space="preserve">Security </t>
  </si>
  <si>
    <t xml:space="preserve">Client - Validated Historical Data </t>
  </si>
  <si>
    <t xml:space="preserve">TOLL GATE - UAT sign off, historical data validation sign off </t>
  </si>
  <si>
    <t xml:space="preserve">Change to dimensions or hierarchies </t>
  </si>
  <si>
    <t>COA Redesign - completed before project kick off</t>
  </si>
  <si>
    <t>Currency translations - number of currencies</t>
  </si>
  <si>
    <t>Overrides</t>
  </si>
  <si>
    <t>Compliance &amp; Audit Checks &amp; Balances</t>
  </si>
  <si>
    <t xml:space="preserve">Rolling Forecast </t>
  </si>
  <si>
    <t>number of direct connect integrations</t>
  </si>
  <si>
    <t>number of flat file integrations</t>
  </si>
  <si>
    <t xml:space="preserve">complexity of mapping tables  / conversion logic </t>
  </si>
  <si>
    <t xml:space="preserve">Reports </t>
  </si>
  <si>
    <t>number of reports</t>
  </si>
  <si>
    <t>complexity of reports</t>
  </si>
  <si>
    <t>Dashboards</t>
  </si>
  <si>
    <t>number of dashboards</t>
  </si>
  <si>
    <t>complexity of dashboards</t>
  </si>
  <si>
    <t xml:space="preserve">Allocations </t>
  </si>
  <si>
    <t>number of allocations</t>
  </si>
  <si>
    <t xml:space="preserve">complexity of allocations </t>
  </si>
  <si>
    <t>Business Rules</t>
  </si>
  <si>
    <t>number of business rules</t>
  </si>
  <si>
    <t>complexity of business rules</t>
  </si>
  <si>
    <t>Calculations</t>
  </si>
  <si>
    <t>number of calculations</t>
  </si>
  <si>
    <t>complexity of calculations</t>
  </si>
  <si>
    <t>Member Formulas</t>
  </si>
  <si>
    <t>number of member formulas</t>
  </si>
  <si>
    <t>complexity of member formulas</t>
  </si>
  <si>
    <t>INSTRUCTIONS</t>
  </si>
  <si>
    <t>Client</t>
  </si>
  <si>
    <t>Capability</t>
  </si>
  <si>
    <t>Services/Project Type</t>
  </si>
  <si>
    <t>Contract Types</t>
  </si>
  <si>
    <t>Roles</t>
  </si>
  <si>
    <t>Combo for Lookup</t>
  </si>
  <si>
    <t>People</t>
  </si>
  <si>
    <t>Person Location</t>
  </si>
  <si>
    <t>Resource Roles</t>
  </si>
  <si>
    <t>Bill Rate</t>
  </si>
  <si>
    <t>Cost</t>
  </si>
  <si>
    <t>Rate Location</t>
  </si>
  <si>
    <t>Month</t>
  </si>
  <si>
    <t>Practice and Role (UNIQUE)</t>
  </si>
  <si>
    <t>From Pricing Sheet Practice  Role Combo (Rows 9-43)</t>
  </si>
  <si>
    <t>Resources (FILTER) - Row 9</t>
  </si>
  <si>
    <t>Resources (FILTER) - Row 10</t>
  </si>
  <si>
    <t>Resources (FILTER) - Row 11</t>
  </si>
  <si>
    <t>Resources (FILTER) - Row 12</t>
  </si>
  <si>
    <t>Resources (FILTER) - Row 13</t>
  </si>
  <si>
    <t>Resources (FILTER) - Row 14</t>
  </si>
  <si>
    <t>Resources (FILTER) - Row 15</t>
  </si>
  <si>
    <t>Resources (FILTER) - Row 16</t>
  </si>
  <si>
    <t>Resources (FILTER) - Row 17</t>
  </si>
  <si>
    <t>Resources (FILTER) - Row 18</t>
  </si>
  <si>
    <t>Resources (FILTER) - Row 19</t>
  </si>
  <si>
    <t>Resources (FILTER) - Row 20</t>
  </si>
  <si>
    <t>Resources (FILTER) - Row 21</t>
  </si>
  <si>
    <t>Resources (FILTER) - Row 22</t>
  </si>
  <si>
    <t>Resources (FILTER) - Row 23</t>
  </si>
  <si>
    <t>Resources (FILTER) - Row 24</t>
  </si>
  <si>
    <t>Resources (FILTER) - Row 25</t>
  </si>
  <si>
    <t>Resources (FILTER) - Row 26</t>
  </si>
  <si>
    <t>Resources (FILTER) - Row 27</t>
  </si>
  <si>
    <t>Resources (FILTER) - Row 28</t>
  </si>
  <si>
    <t>Resources (FILTER) - Row 29</t>
  </si>
  <si>
    <t>Resources (FILTER) - Row 30</t>
  </si>
  <si>
    <t>Resources (FILTER) - Row 31</t>
  </si>
  <si>
    <t>Resources (FILTER) - Row 32</t>
  </si>
  <si>
    <t>Resources (FILTER) - Row 33</t>
  </si>
  <si>
    <t>Resources (FILTER) - Row 34</t>
  </si>
  <si>
    <t>Resources (FILTER) - Row 35</t>
  </si>
  <si>
    <t>Resources (FILTER) - Row 36</t>
  </si>
  <si>
    <t>Resources (FILTER) - Row 37</t>
  </si>
  <si>
    <t>Resources (FILTER) - Row 38</t>
  </si>
  <si>
    <t>Resources (FILTER) - Row 39</t>
  </si>
  <si>
    <t>Resources (FILTER) - Row 40</t>
  </si>
  <si>
    <t>Resources (FILTER) - Row 41</t>
  </si>
  <si>
    <t>Resources (FILTER) - Row 42</t>
  </si>
  <si>
    <t>Resources (FILTER) - Row 43</t>
  </si>
  <si>
    <t>Type</t>
  </si>
  <si>
    <t>ARCS</t>
  </si>
  <si>
    <t>Advisory</t>
  </si>
  <si>
    <t>USA</t>
  </si>
  <si>
    <t>New</t>
  </si>
  <si>
    <t>1800HANSONS</t>
  </si>
  <si>
    <t>AWS</t>
  </si>
  <si>
    <t>Application Rationalization</t>
  </si>
  <si>
    <t>T&amp;M - On Demand</t>
  </si>
  <si>
    <t>Acadia Healthcare</t>
  </si>
  <si>
    <t>Azure</t>
  </si>
  <si>
    <t>Application Support</t>
  </si>
  <si>
    <t>Renewal</t>
  </si>
  <si>
    <t>Adecco</t>
  </si>
  <si>
    <t>Backend Technologies</t>
  </si>
  <si>
    <t>Assessment</t>
  </si>
  <si>
    <t>Milestone</t>
  </si>
  <si>
    <t>Adecco(Oracle)</t>
  </si>
  <si>
    <t>BCP/DR</t>
  </si>
  <si>
    <t>Business Analyst Support</t>
  </si>
  <si>
    <t>Change Manager</t>
  </si>
  <si>
    <t>ADVICS</t>
  </si>
  <si>
    <t>BI</t>
  </si>
  <si>
    <t>Change Management</t>
  </si>
  <si>
    <t>Aisin World Corp of America</t>
  </si>
  <si>
    <t>Cloud Engineering</t>
  </si>
  <si>
    <t>Deployment Support</t>
  </si>
  <si>
    <t>AIT Worldwide Logistics</t>
  </si>
  <si>
    <t>Cloud IP</t>
  </si>
  <si>
    <t>Development</t>
  </si>
  <si>
    <t>Amentum(SC&amp;H)</t>
  </si>
  <si>
    <t>Cloud PM</t>
  </si>
  <si>
    <t>Divestiture/Spinoff Support</t>
  </si>
  <si>
    <t>AmTrust Financial Services</t>
  </si>
  <si>
    <t>Consolidation Cloud</t>
  </si>
  <si>
    <t>Enhancements</t>
  </si>
  <si>
    <t>AmTrust Financial(Oracle)</t>
  </si>
  <si>
    <t>CPM IP</t>
  </si>
  <si>
    <t>Finance Transformation</t>
  </si>
  <si>
    <t>Anthem(TNP Systems)</t>
  </si>
  <si>
    <t>Cybersecurity</t>
  </si>
  <si>
    <t>Functional Support</t>
  </si>
  <si>
    <t>Apex Tool Group</t>
  </si>
  <si>
    <t>Implementation</t>
  </si>
  <si>
    <t>Aptiv</t>
  </si>
  <si>
    <t>Data Engineering</t>
  </si>
  <si>
    <t>Infrastructure Support</t>
  </si>
  <si>
    <t>Argo</t>
  </si>
  <si>
    <t>Data Governance</t>
  </si>
  <si>
    <t>Licenses</t>
  </si>
  <si>
    <t>Argo(Secure24)</t>
  </si>
  <si>
    <t>Data Transformation</t>
  </si>
  <si>
    <t>Mergers/Acquisitions Support</t>
  </si>
  <si>
    <t>Sr. Application Developer - FCC</t>
  </si>
  <si>
    <t>Argon Medical Devices</t>
  </si>
  <si>
    <t>Databricks</t>
  </si>
  <si>
    <t>Migration</t>
  </si>
  <si>
    <t>Sr. Application Developer - ARC</t>
  </si>
  <si>
    <t>Aspen Dental(Xoogify)</t>
  </si>
  <si>
    <t>DBA</t>
  </si>
  <si>
    <t>Optimization</t>
  </si>
  <si>
    <t>AT&amp;T(Badal)</t>
  </si>
  <si>
    <t>DevOps Technologies</t>
  </si>
  <si>
    <t>POC</t>
  </si>
  <si>
    <t>AT&amp;T(Bravens)</t>
  </si>
  <si>
    <t>DRM</t>
  </si>
  <si>
    <t>Portfolio Management</t>
  </si>
  <si>
    <t>AT&amp;T(Data Piper)</t>
  </si>
  <si>
    <t>Duck Creek Suite</t>
  </si>
  <si>
    <t>Process Transformation</t>
  </si>
  <si>
    <t>AT&amp;T(ZeroChaos)</t>
  </si>
  <si>
    <t>EPM Cloud Suite</t>
  </si>
  <si>
    <t>Program Management</t>
  </si>
  <si>
    <t>AvMed(Secure24)</t>
  </si>
  <si>
    <t>EPM IP</t>
  </si>
  <si>
    <t>Project Management</t>
  </si>
  <si>
    <t>Donyati_Products_USA</t>
  </si>
  <si>
    <t>Avnet</t>
  </si>
  <si>
    <t>EPM PM</t>
  </si>
  <si>
    <t>Referral</t>
  </si>
  <si>
    <t>ICSub_Contractor_USA</t>
  </si>
  <si>
    <t>Avnet(OneStream)</t>
  </si>
  <si>
    <t>ERP PM</t>
  </si>
  <si>
    <t>Solution Architecture</t>
  </si>
  <si>
    <t>ICSub_Contractor_India</t>
  </si>
  <si>
    <t>BCBS Michigan</t>
  </si>
  <si>
    <t>Essbase</t>
  </si>
  <si>
    <t>Strategy</t>
  </si>
  <si>
    <t>Bell Canada(Badal)</t>
  </si>
  <si>
    <t>FDMEE</t>
  </si>
  <si>
    <t>Support</t>
  </si>
  <si>
    <t>Application Lead - DI</t>
  </si>
  <si>
    <t>Bell Canada(Data Piper)</t>
  </si>
  <si>
    <t>Frontend Technologies</t>
  </si>
  <si>
    <t>Sr. Application Lead - DI</t>
  </si>
  <si>
    <t>Blue Ribbon(Trace3)</t>
  </si>
  <si>
    <t>Google Cloud</t>
  </si>
  <si>
    <t>Upgrade</t>
  </si>
  <si>
    <t>Body Control Systems</t>
  </si>
  <si>
    <t>HFM</t>
  </si>
  <si>
    <t>BorgWarner</t>
  </si>
  <si>
    <t>Hyperion Suite</t>
  </si>
  <si>
    <t>Sr. Solution Architect - DI</t>
  </si>
  <si>
    <t>BRAVVOX</t>
  </si>
  <si>
    <t>IT</t>
  </si>
  <si>
    <t>Builders FirstSource</t>
  </si>
  <si>
    <t>Middleware</t>
  </si>
  <si>
    <t>Bunge(Microland)</t>
  </si>
  <si>
    <t>MuleSoft</t>
  </si>
  <si>
    <t>CarTech(SC&amp;H)</t>
  </si>
  <si>
    <t>OCI</t>
  </si>
  <si>
    <t>Catholic Relief Services</t>
  </si>
  <si>
    <t>OneStream</t>
  </si>
  <si>
    <t>Application Support Lead - PLN</t>
  </si>
  <si>
    <t>CDM Smith</t>
  </si>
  <si>
    <t>Oracle Data Integrator</t>
  </si>
  <si>
    <t>Central Insurance</t>
  </si>
  <si>
    <t>Oracle EBS</t>
  </si>
  <si>
    <t>Centric3</t>
  </si>
  <si>
    <t>Oracle ERP Cloud</t>
  </si>
  <si>
    <t>Sr. Reporting Lead</t>
  </si>
  <si>
    <t>Century Aluminum</t>
  </si>
  <si>
    <t>Oracle HCM</t>
  </si>
  <si>
    <t>Charter Communications(Trace3)</t>
  </si>
  <si>
    <t>Oracle JD Edwards</t>
  </si>
  <si>
    <t>Cintas(Trace3)</t>
  </si>
  <si>
    <t>Oracle NetSuite ERP</t>
  </si>
  <si>
    <t>Clark County NV(Trace3)</t>
  </si>
  <si>
    <t>Org Effectiveness</t>
  </si>
  <si>
    <t>Reporting Lead</t>
  </si>
  <si>
    <t>CoBank(Oracle)</t>
  </si>
  <si>
    <t>Partner</t>
  </si>
  <si>
    <t>Comcast(Fincons)</t>
  </si>
  <si>
    <t>PCMCS</t>
  </si>
  <si>
    <t>Cooper Standard</t>
  </si>
  <si>
    <t>PeopleSoft</t>
  </si>
  <si>
    <t>CooperVision</t>
  </si>
  <si>
    <t>Planning</t>
  </si>
  <si>
    <t>CooperVision(Secure24)</t>
  </si>
  <si>
    <t>Planning Cloud</t>
  </si>
  <si>
    <t>Covetrus</t>
  </si>
  <si>
    <t>Power Apps</t>
  </si>
  <si>
    <t>Cretex Companies</t>
  </si>
  <si>
    <t>Power BI</t>
  </si>
  <si>
    <t>Cummins</t>
  </si>
  <si>
    <t>PS EPM Cloud Suite</t>
  </si>
  <si>
    <t>Dana</t>
  </si>
  <si>
    <t>PS IT</t>
  </si>
  <si>
    <t>Sr. Application Support Lead - PLN</t>
  </si>
  <si>
    <t>Databricks(Transatlantix)</t>
  </si>
  <si>
    <t>PS Oracle ERP Cloud</t>
  </si>
  <si>
    <t>Daymon Worldwide</t>
  </si>
  <si>
    <t>QA</t>
  </si>
  <si>
    <t>Delphi Automotive</t>
  </si>
  <si>
    <t>RPA</t>
  </si>
  <si>
    <t>Delphi Automotive(American Partners)</t>
  </si>
  <si>
    <t>Salesforce</t>
  </si>
  <si>
    <t>Delphi Technologies</t>
  </si>
  <si>
    <t>SAP BPC</t>
  </si>
  <si>
    <t>Delphi Technologies(Secure24)</t>
  </si>
  <si>
    <t>SAP ERP</t>
  </si>
  <si>
    <t>Delta Air Lines</t>
  </si>
  <si>
    <t>SAP S4 HANA</t>
  </si>
  <si>
    <t>Duck Creek Technologies</t>
  </si>
  <si>
    <t>System Administration</t>
  </si>
  <si>
    <t>EPM_Practice_Australia</t>
  </si>
  <si>
    <t>Australia</t>
  </si>
  <si>
    <t>Dun&amp;Bradstreet(IVA Technos)</t>
  </si>
  <si>
    <t>TS Business Analyst</t>
  </si>
  <si>
    <t>EPM_Practice_Canada_Consolidation</t>
  </si>
  <si>
    <t>Canada</t>
  </si>
  <si>
    <t>EchoStar(Data Piper)</t>
  </si>
  <si>
    <t>TS IP</t>
  </si>
  <si>
    <t>India</t>
  </si>
  <si>
    <t>Edwards Lifesciences</t>
  </si>
  <si>
    <t>Workday</t>
  </si>
  <si>
    <t>Equinox Gold</t>
  </si>
  <si>
    <t>Experian(Xoogify)</t>
  </si>
  <si>
    <t>Express Flooring</t>
  </si>
  <si>
    <t>FDC</t>
  </si>
  <si>
    <t>Fiserv</t>
  </si>
  <si>
    <t>Fiserv India</t>
  </si>
  <si>
    <t>Ford</t>
  </si>
  <si>
    <t>Ford(Insight)</t>
  </si>
  <si>
    <t>Gardner Denver(PARC)</t>
  </si>
  <si>
    <t>Gentex</t>
  </si>
  <si>
    <t>Gilead Sciences(ZS Associates)</t>
  </si>
  <si>
    <t>Global Partners</t>
  </si>
  <si>
    <t>Global Partners(Oracle)</t>
  </si>
  <si>
    <t>GM Financial</t>
  </si>
  <si>
    <t>GM Financial(Oracle India)</t>
  </si>
  <si>
    <t>GM Financial(Oracle)</t>
  </si>
  <si>
    <t>GM(Technosoft)</t>
  </si>
  <si>
    <t>Google(Xoogify)</t>
  </si>
  <si>
    <t>Graham Packaging(SC&amp;H)</t>
  </si>
  <si>
    <t>Grange Insurance</t>
  </si>
  <si>
    <t>Grede Holdings</t>
  </si>
  <si>
    <t>GREIF(Secure24)</t>
  </si>
  <si>
    <t>GTS Direct</t>
  </si>
  <si>
    <t>Guthrie(Oracle)</t>
  </si>
  <si>
    <t>Harris Corporation</t>
  </si>
  <si>
    <t>HealthEdge</t>
  </si>
  <si>
    <t>ICF(SC&amp;H)</t>
  </si>
  <si>
    <t>IEEE</t>
  </si>
  <si>
    <t>Illinois Tool Works</t>
  </si>
  <si>
    <t>Ingersoll Rand(PARC)</t>
  </si>
  <si>
    <t>Ingram Micro</t>
  </si>
  <si>
    <t>IVA Technos</t>
  </si>
  <si>
    <t>JM Huber</t>
  </si>
  <si>
    <t>Joyson Safety Systems</t>
  </si>
  <si>
    <t>JTEKT</t>
  </si>
  <si>
    <t>Kemper Insurance(Lorven Technologies)</t>
  </si>
  <si>
    <t>Kohler</t>
  </si>
  <si>
    <t>KORE Wireless(Trace3)</t>
  </si>
  <si>
    <t>Kuvare</t>
  </si>
  <si>
    <t>L3Harris Technologies</t>
  </si>
  <si>
    <t>Labrie Environmental Group</t>
  </si>
  <si>
    <t>Lear</t>
  </si>
  <si>
    <t>Lear(Secure24)</t>
  </si>
  <si>
    <t>Lindsay Corporation</t>
  </si>
  <si>
    <t>Little Caesar Enterprises</t>
  </si>
  <si>
    <t>Lonestar Community College(GNC)</t>
  </si>
  <si>
    <t>Lucid Motors</t>
  </si>
  <si>
    <t>Lumen(Trace3)</t>
  </si>
  <si>
    <t>MacLean Fogg</t>
  </si>
  <si>
    <t>Macmillan Publishers</t>
  </si>
  <si>
    <t>Magna International(Trace3)</t>
  </si>
  <si>
    <t>Manitowoc</t>
  </si>
  <si>
    <t>Marmon Group</t>
  </si>
  <si>
    <t>Maverick Services</t>
  </si>
  <si>
    <t>MDU Resources Group</t>
  </si>
  <si>
    <t>MDU Resources Group(OneStream)</t>
  </si>
  <si>
    <t>MechanAir</t>
  </si>
  <si>
    <t>Meritor(Thirdware)</t>
  </si>
  <si>
    <t>Argentina</t>
  </si>
  <si>
    <t>Microland</t>
  </si>
  <si>
    <t>Mitsubishi Power Americas(OneStream)</t>
  </si>
  <si>
    <t>Moodys</t>
  </si>
  <si>
    <t>Moodys(Trace3)</t>
  </si>
  <si>
    <t>MSSC</t>
  </si>
  <si>
    <t>NCR(Data Piper)</t>
  </si>
  <si>
    <t>Nevada Market</t>
  </si>
  <si>
    <t>Newell Brands</t>
  </si>
  <si>
    <t>Brazil</t>
  </si>
  <si>
    <t>Newell Rubbermaid</t>
  </si>
  <si>
    <t>Nifco</t>
  </si>
  <si>
    <t>Nokia</t>
  </si>
  <si>
    <t>Nokia(Accenture)</t>
  </si>
  <si>
    <t>Nokia(Atos)</t>
  </si>
  <si>
    <t>Nokia(CTC)</t>
  </si>
  <si>
    <t>Nokia(Data Piper)</t>
  </si>
  <si>
    <t>Nokia(ECS)</t>
  </si>
  <si>
    <t>CzechRepublic</t>
  </si>
  <si>
    <t>North Highland(Trace3)</t>
  </si>
  <si>
    <t>Germany</t>
  </si>
  <si>
    <t>NSF International</t>
  </si>
  <si>
    <t>Oakland County MI</t>
  </si>
  <si>
    <t>ERP_Practice_Italy</t>
  </si>
  <si>
    <t>Italy</t>
  </si>
  <si>
    <t>OC Tanner(Trace3)</t>
  </si>
  <si>
    <t>ofi(Deloitte India)</t>
  </si>
  <si>
    <t>OSI Group(OneStream)</t>
  </si>
  <si>
    <t>Perry Ellis</t>
  </si>
  <si>
    <t>PODS(Trace3)</t>
  </si>
  <si>
    <t>Qualcomm</t>
  </si>
  <si>
    <t>Quanta Services</t>
  </si>
  <si>
    <t>Raymond James</t>
  </si>
  <si>
    <t>Mexico</t>
  </si>
  <si>
    <t>Rymax</t>
  </si>
  <si>
    <t>SAIC</t>
  </si>
  <si>
    <t>Santander Bank</t>
  </si>
  <si>
    <t>SC&amp;H</t>
  </si>
  <si>
    <t>Scotiabank(Badal)</t>
  </si>
  <si>
    <t>Sempra Energy(Alithya)</t>
  </si>
  <si>
    <t>Shiloh Industries</t>
  </si>
  <si>
    <t>Shutterfly</t>
  </si>
  <si>
    <t>Siemens(Fincons)</t>
  </si>
  <si>
    <t>Spain</t>
  </si>
  <si>
    <t>SiriusPoint</t>
  </si>
  <si>
    <t>ERP_Practice_Switzerland</t>
  </si>
  <si>
    <t>Switzerland</t>
  </si>
  <si>
    <t>Skyward</t>
  </si>
  <si>
    <t>Springs Window Fashions</t>
  </si>
  <si>
    <t>State of Tennessee(Data Piper)</t>
  </si>
  <si>
    <t>Subaru</t>
  </si>
  <si>
    <t>Summit Materials(SC&amp;H)</t>
  </si>
  <si>
    <t>Summit Polymers</t>
  </si>
  <si>
    <t>Sunbelt Solomon</t>
  </si>
  <si>
    <t>TECO Westinghouse</t>
  </si>
  <si>
    <t>TELUS International(Badal)</t>
  </si>
  <si>
    <t>TELUS International(Data Piper)</t>
  </si>
  <si>
    <t>TELUS NGC(Badal)</t>
  </si>
  <si>
    <t>Tenerity</t>
  </si>
  <si>
    <t>Thales Group(SC&amp;H)</t>
  </si>
  <si>
    <t>TransUnion</t>
  </si>
  <si>
    <t>Trean Insurance</t>
  </si>
  <si>
    <t>TRW(Secure24)</t>
  </si>
  <si>
    <t>Cloud_Practice_India</t>
  </si>
  <si>
    <t>Associate</t>
  </si>
  <si>
    <t>TSI</t>
  </si>
  <si>
    <t>TTI</t>
  </si>
  <si>
    <t>Tucson Electric Power</t>
  </si>
  <si>
    <t>Tucson Electric Power(OneStream)</t>
  </si>
  <si>
    <t>Associate Cloud Engineer</t>
  </si>
  <si>
    <t>Twelve Benefit</t>
  </si>
  <si>
    <t>UNFI</t>
  </si>
  <si>
    <t>Urban One(SC&amp;H)</t>
  </si>
  <si>
    <t>US Farathane</t>
  </si>
  <si>
    <t>USAID(NTT)</t>
  </si>
  <si>
    <t>Visteon</t>
  </si>
  <si>
    <t>VW Credit</t>
  </si>
  <si>
    <t>VWGoA</t>
  </si>
  <si>
    <t>VWGoA(Secure24)</t>
  </si>
  <si>
    <t>Wayne County MI(Oracle)</t>
  </si>
  <si>
    <t>Waystar(Trace3)</t>
  </si>
  <si>
    <t>Westlake Properties</t>
  </si>
  <si>
    <t>WestRock</t>
  </si>
  <si>
    <t>Wilsonart</t>
  </si>
  <si>
    <t>ZF</t>
  </si>
  <si>
    <t>PS_Practice_India</t>
  </si>
  <si>
    <t>Sr. DevOps Engineer</t>
  </si>
  <si>
    <t>Support Lead</t>
  </si>
  <si>
    <t>Sr. Salesforce Developer</t>
  </si>
  <si>
    <t>Scrum Master</t>
  </si>
  <si>
    <t>Sr. Support Engineer</t>
  </si>
  <si>
    <t>Data Engineer</t>
  </si>
  <si>
    <t>Inda</t>
  </si>
  <si>
    <t>Instructions to update the Picklist Tab with current data from Certina</t>
  </si>
  <si>
    <t>Run the Resource Contact List report in Certinia (link is at the top of the Certinia Resource List tab)</t>
  </si>
  <si>
    <t>Export to Excel (details only format)</t>
  </si>
  <si>
    <t>Open the exported file, and remove any resources not assigned to a practice (Paul Coalescence)</t>
  </si>
  <si>
    <t>If any resources are not assigned a Resource Role, validate with Amy; may need to be corrected</t>
  </si>
  <si>
    <t>Copy/paste the list into the Certina Resource List tab columns A-F</t>
  </si>
  <si>
    <t>Scroll to the bottom so you can either delete rows that were not copied over, or drag down the formulas in columns H-P if new list is longer</t>
  </si>
  <si>
    <t>Adjust the formulas to include the correct number of rows for Columns S-W</t>
  </si>
  <si>
    <t>If changed, copy/paste the Unique Practice List (Column U) to the Picklist tab Practice (Column E).  Do not overwrite the Donyati Products or the IC/Subcontractor)</t>
  </si>
  <si>
    <t>Check to be sure that the Organizational Effectiveness Practice has practice in the name - Amy was to correct back in May.</t>
  </si>
  <si>
    <t>If changed, copy/paste the Unique Roles List (Column W) to the Picklist tab Roles (Column F). Do not overwrite the Donyati Producst or the IC/Subcontractors.</t>
  </si>
  <si>
    <t>To copy the updated list of resources, notice that the TBD data (do not copy  over) on the Picklist tab is shaded grey.  There is also a formula in the section below that is greyed out.  To copy the resource info, first copy columns M and N to Picklist G and H, starting where the column is not shaded.
Scroll to the bottom after copying as you may need to delete extra rows or drag formulas further down the list in column I if the new list is longer</t>
  </si>
  <si>
    <t>Next, copy columns O and P to Picklist J and K, starting where the column is not shaded (below the TBD list).
Scroll to the bottom after copying as you may need to delete extra rows.</t>
  </si>
  <si>
    <t>Update the Updated Date to today's date (Cell F1).</t>
  </si>
  <si>
    <t>Instructions to update the Resource List Tab with current data from Certinia</t>
  </si>
  <si>
    <t>Copy columns M-O on the Certinia Resource List Tab.</t>
  </si>
  <si>
    <t>Paste to columns A-C on the Resource List Tab.</t>
  </si>
  <si>
    <t>Be sure to remove any additional rows that were from the prior list.</t>
  </si>
  <si>
    <t>Update the Updated Date to today's date (Cell D1).</t>
  </si>
  <si>
    <t>Salesforce Report</t>
  </si>
  <si>
    <t>https://donyati.lightning.force.com/lightning/r/Report/00OQO000000NQeX2AW/view?queryScope=userFolders</t>
  </si>
  <si>
    <t>UPDATE THE LAST # in formula with last Row #</t>
  </si>
  <si>
    <t>Account Name</t>
  </si>
  <si>
    <t>First Name</t>
  </si>
  <si>
    <t>Last Name</t>
  </si>
  <si>
    <t>Employment Type</t>
  </si>
  <si>
    <t>Change to EPM
 (CPM/EPM/Architecture/Functional)</t>
  </si>
  <si>
    <t>Add Hyphen to Practice Names</t>
  </si>
  <si>
    <t>Location</t>
  </si>
  <si>
    <t>Practice (UNIQUE)</t>
  </si>
  <si>
    <t>Roles (UNIQUE)</t>
  </si>
  <si>
    <t>Donyati</t>
  </si>
  <si>
    <t>Cloud Practice USA</t>
  </si>
  <si>
    <t>Rodrigo</t>
  </si>
  <si>
    <t>Farinazo</t>
  </si>
  <si>
    <t>Full Time USA - Billable</t>
  </si>
  <si>
    <t>Michael</t>
  </si>
  <si>
    <t>Stevens</t>
  </si>
  <si>
    <t>J Meier</t>
  </si>
  <si>
    <t>Kerri</t>
  </si>
  <si>
    <t>Dittmar</t>
  </si>
  <si>
    <t>Harrison</t>
  </si>
  <si>
    <t>Koons</t>
  </si>
  <si>
    <t>Evan</t>
  </si>
  <si>
    <t>C List</t>
  </si>
  <si>
    <t>Christina</t>
  </si>
  <si>
    <t>Allan</t>
  </si>
  <si>
    <t>Brandon</t>
  </si>
  <si>
    <t>C Wagoner</t>
  </si>
  <si>
    <t>Cyber Sphere LLC</t>
  </si>
  <si>
    <t>Eric</t>
  </si>
  <si>
    <t>Paul</t>
  </si>
  <si>
    <t>Contractor USA - Billable</t>
  </si>
  <si>
    <t>IC</t>
  </si>
  <si>
    <t>Sean</t>
  </si>
  <si>
    <t>Clark</t>
  </si>
  <si>
    <t>Asha</t>
  </si>
  <si>
    <t>Angalla</t>
  </si>
  <si>
    <t>Gowtham</t>
  </si>
  <si>
    <t>Nelavelli</t>
  </si>
  <si>
    <t>Yoshi</t>
  </si>
  <si>
    <t>Budiyanto</t>
  </si>
  <si>
    <t>ReqRoute Inc</t>
  </si>
  <si>
    <t>Sandeep C</t>
  </si>
  <si>
    <t>Appalaneni</t>
  </si>
  <si>
    <t>EPM Practice Canada - Consolidation</t>
  </si>
  <si>
    <t>Lalit</t>
  </si>
  <si>
    <t>Agarwal</t>
  </si>
  <si>
    <t>Full Time Canada - Billable</t>
  </si>
  <si>
    <t>EPM Practice India - Consolidation</t>
  </si>
  <si>
    <t>Aditya</t>
  </si>
  <si>
    <t>Mehta</t>
  </si>
  <si>
    <t>Full Time India - Billable</t>
  </si>
  <si>
    <t>Saif Ur</t>
  </si>
  <si>
    <t>Rehman</t>
  </si>
  <si>
    <t>Madhurima</t>
  </si>
  <si>
    <t>Burman</t>
  </si>
  <si>
    <t>Sowmya</t>
  </si>
  <si>
    <t>Polishetty</t>
  </si>
  <si>
    <t>DeepuPrakash</t>
  </si>
  <si>
    <t>AJ</t>
  </si>
  <si>
    <t>Sijith</t>
  </si>
  <si>
    <t>M</t>
  </si>
  <si>
    <t>Supriya</t>
  </si>
  <si>
    <t>Mise</t>
  </si>
  <si>
    <t>Sabaritha</t>
  </si>
  <si>
    <t>Rajendran</t>
  </si>
  <si>
    <t>Rithik</t>
  </si>
  <si>
    <t>Prem</t>
  </si>
  <si>
    <t>Manjunath</t>
  </si>
  <si>
    <t>M P</t>
  </si>
  <si>
    <t>Kartikey</t>
  </si>
  <si>
    <t>Panday</t>
  </si>
  <si>
    <t>Kamalashree</t>
  </si>
  <si>
    <t>Appavu</t>
  </si>
  <si>
    <t>Aparna Ottapurakkal</t>
  </si>
  <si>
    <t>Kallada</t>
  </si>
  <si>
    <t>Anand</t>
  </si>
  <si>
    <t>Thota</t>
  </si>
  <si>
    <t>EPM Practice India - Integration</t>
  </si>
  <si>
    <t>Disha Chhabria</t>
  </si>
  <si>
    <t>Kukreja</t>
  </si>
  <si>
    <t>Lohith</t>
  </si>
  <si>
    <t>Reddy Pidimarla</t>
  </si>
  <si>
    <t>Shyam</t>
  </si>
  <si>
    <t>Natarajan</t>
  </si>
  <si>
    <t>Ashok Reddy</t>
  </si>
  <si>
    <t>Komineni</t>
  </si>
  <si>
    <t>Prakash</t>
  </si>
  <si>
    <t>Ramchandran</t>
  </si>
  <si>
    <t>Sanjai</t>
  </si>
  <si>
    <t>Ponnuvel</t>
  </si>
  <si>
    <t>Pavithran</t>
  </si>
  <si>
    <t>K</t>
  </si>
  <si>
    <t>Gerigi</t>
  </si>
  <si>
    <t>Charan Kumar</t>
  </si>
  <si>
    <t>Ganesh</t>
  </si>
  <si>
    <t>Jeyaramalingam</t>
  </si>
  <si>
    <t>Rizil</t>
  </si>
  <si>
    <t>Akthar PP</t>
  </si>
  <si>
    <t>Karthik</t>
  </si>
  <si>
    <t>Madheswaran</t>
  </si>
  <si>
    <t>Vignesh</t>
  </si>
  <si>
    <t>Thangavel</t>
  </si>
  <si>
    <t>Shivangi</t>
  </si>
  <si>
    <t>Gopal</t>
  </si>
  <si>
    <t>Santosha</t>
  </si>
  <si>
    <t>Hakki</t>
  </si>
  <si>
    <t>Ramireddy</t>
  </si>
  <si>
    <t>Nidhi</t>
  </si>
  <si>
    <t>Manju</t>
  </si>
  <si>
    <t>Komara</t>
  </si>
  <si>
    <t>Jamuna</t>
  </si>
  <si>
    <t>Kannan</t>
  </si>
  <si>
    <t>Indira</t>
  </si>
  <si>
    <t>Beeram</t>
  </si>
  <si>
    <t>Anusha</t>
  </si>
  <si>
    <t>Ankur</t>
  </si>
  <si>
    <t>Shrivastava</t>
  </si>
  <si>
    <t>EPM Practice India - Planning</t>
  </si>
  <si>
    <t>Anil Kumar</t>
  </si>
  <si>
    <t>Urs</t>
  </si>
  <si>
    <t>Sai Kumar Reddy</t>
  </si>
  <si>
    <t>Gudipally</t>
  </si>
  <si>
    <t>Anagha</t>
  </si>
  <si>
    <t>Kale</t>
  </si>
  <si>
    <t>Krishna Kranthi</t>
  </si>
  <si>
    <t>Grandhi</t>
  </si>
  <si>
    <t>Rashmi</t>
  </si>
  <si>
    <t>Singh</t>
  </si>
  <si>
    <t>Vani</t>
  </si>
  <si>
    <t>Vollela</t>
  </si>
  <si>
    <t>Uma</t>
  </si>
  <si>
    <t>Garg</t>
  </si>
  <si>
    <t>Vanaja</t>
  </si>
  <si>
    <t>Nerellakunta</t>
  </si>
  <si>
    <t>Ashu</t>
  </si>
  <si>
    <t>Singh Aswal</t>
  </si>
  <si>
    <t>Syeda Amatul Saboor</t>
  </si>
  <si>
    <t>Huzaifa</t>
  </si>
  <si>
    <t>Vadisela</t>
  </si>
  <si>
    <t>Pavan Kumar Reddy</t>
  </si>
  <si>
    <t>Girinath</t>
  </si>
  <si>
    <t>B</t>
  </si>
  <si>
    <t>Karaneeshwaran</t>
  </si>
  <si>
    <t>Shreepriya</t>
  </si>
  <si>
    <t>V</t>
  </si>
  <si>
    <t>Saran</t>
  </si>
  <si>
    <t>Jayaprakash</t>
  </si>
  <si>
    <t>Sharmila</t>
  </si>
  <si>
    <t>S</t>
  </si>
  <si>
    <t>Deep Narayan</t>
  </si>
  <si>
    <t>Sharma</t>
  </si>
  <si>
    <t>Visweswari</t>
  </si>
  <si>
    <t>Somaiahgari</t>
  </si>
  <si>
    <t>Shabnam</t>
  </si>
  <si>
    <t>Fairoz</t>
  </si>
  <si>
    <t>Rinku</t>
  </si>
  <si>
    <t>Agrawal</t>
  </si>
  <si>
    <t>Kruthika</t>
  </si>
  <si>
    <t>Sidnal</t>
  </si>
  <si>
    <t>Kashinath</t>
  </si>
  <si>
    <t>Manoharan</t>
  </si>
  <si>
    <t>Indumathi</t>
  </si>
  <si>
    <t>Peraiyur Chandrasekar</t>
  </si>
  <si>
    <t>Balaji</t>
  </si>
  <si>
    <t>Venkatachalam</t>
  </si>
  <si>
    <t>EPM Practice USA</t>
  </si>
  <si>
    <t>Ezekiel</t>
  </si>
  <si>
    <t>O'Neill</t>
  </si>
  <si>
    <t>Joseph W</t>
  </si>
  <si>
    <t>Aultman</t>
  </si>
  <si>
    <t>Murali</t>
  </si>
  <si>
    <t>Konuri</t>
  </si>
  <si>
    <t>Dusty</t>
  </si>
  <si>
    <t>Johnson</t>
  </si>
  <si>
    <t>Christopher</t>
  </si>
  <si>
    <t>G Hallock</t>
  </si>
  <si>
    <t>Ascend</t>
  </si>
  <si>
    <t>Julieta</t>
  </si>
  <si>
    <t>Juarez</t>
  </si>
  <si>
    <t>Gary</t>
  </si>
  <si>
    <t>Hewstone</t>
  </si>
  <si>
    <t>Contractor UK Billable</t>
  </si>
  <si>
    <t>EPM Practice USA - Consolidation</t>
  </si>
  <si>
    <t>Anala</t>
  </si>
  <si>
    <t>William J</t>
  </si>
  <si>
    <t>Posey</t>
  </si>
  <si>
    <t>Raminder Singh</t>
  </si>
  <si>
    <t>Sidhu</t>
  </si>
  <si>
    <t>Vikram</t>
  </si>
  <si>
    <t>Krishnamoorthy</t>
  </si>
  <si>
    <t>EPM Practice USA - Integration</t>
  </si>
  <si>
    <t>Vasantha K</t>
  </si>
  <si>
    <t>Raman</t>
  </si>
  <si>
    <t>Robert J</t>
  </si>
  <si>
    <t>Gideon</t>
  </si>
  <si>
    <t>Rabinder</t>
  </si>
  <si>
    <t>Madan</t>
  </si>
  <si>
    <t>Matthew</t>
  </si>
  <si>
    <t>Janecek</t>
  </si>
  <si>
    <t>Harisingh</t>
  </si>
  <si>
    <t>Janakiram</t>
  </si>
  <si>
    <t>Glen</t>
  </si>
  <si>
    <t>Allen</t>
  </si>
  <si>
    <t>EPM Practice USA - Managed Services</t>
  </si>
  <si>
    <t>Schwarz</t>
  </si>
  <si>
    <t>Dean</t>
  </si>
  <si>
    <t>DeRenzo</t>
  </si>
  <si>
    <t>Saikiran</t>
  </si>
  <si>
    <t>Kodari</t>
  </si>
  <si>
    <t>Rupali</t>
  </si>
  <si>
    <t>Khedekar</t>
  </si>
  <si>
    <t>Randal</t>
  </si>
  <si>
    <t>Heideman</t>
  </si>
  <si>
    <t>Kevin</t>
  </si>
  <si>
    <t>M Fiddes</t>
  </si>
  <si>
    <t>EPM Practice USA - Planning</t>
  </si>
  <si>
    <t>Dyana</t>
  </si>
  <si>
    <t>Karcher</t>
  </si>
  <si>
    <t>Paul J</t>
  </si>
  <si>
    <t>Lewis</t>
  </si>
  <si>
    <t>Angela</t>
  </si>
  <si>
    <t>Wilcox</t>
  </si>
  <si>
    <t>Manohar</t>
  </si>
  <si>
    <t>Vanamadi</t>
  </si>
  <si>
    <t>Ajith Metharayil</t>
  </si>
  <si>
    <t>John</t>
  </si>
  <si>
    <t>Pak</t>
  </si>
  <si>
    <t>Kamalakannan</t>
  </si>
  <si>
    <t>Sriramulu</t>
  </si>
  <si>
    <t>Raziuddin</t>
  </si>
  <si>
    <t>Mohammed</t>
  </si>
  <si>
    <t>Mahesh</t>
  </si>
  <si>
    <t>Balla</t>
  </si>
  <si>
    <t>Dennis</t>
  </si>
  <si>
    <t>Hogan</t>
  </si>
  <si>
    <t>Aleaha</t>
  </si>
  <si>
    <t>Peterson</t>
  </si>
  <si>
    <t>Alfred</t>
  </si>
  <si>
    <t>Wu</t>
  </si>
  <si>
    <t>ERP Practice Argentina</t>
  </si>
  <si>
    <t>Santiago Ezequiel</t>
  </si>
  <si>
    <t>Massetta</t>
  </si>
  <si>
    <t>Contractor Argentina - Billable</t>
  </si>
  <si>
    <t>Federico</t>
  </si>
  <si>
    <t>Bosnjak</t>
  </si>
  <si>
    <t>Tomas</t>
  </si>
  <si>
    <t>Jamui</t>
  </si>
  <si>
    <t>Mariano Javier</t>
  </si>
  <si>
    <t>Vidal</t>
  </si>
  <si>
    <t>Guillermo</t>
  </si>
  <si>
    <t>Elizeche</t>
  </si>
  <si>
    <t>ERP Practice Brazil</t>
  </si>
  <si>
    <t>Joao R</t>
  </si>
  <si>
    <t>Neto</t>
  </si>
  <si>
    <t>Contractor Brazil - Billable</t>
  </si>
  <si>
    <t>ERP Practice CzechRepublic</t>
  </si>
  <si>
    <t>Saba</t>
  </si>
  <si>
    <t>Khais</t>
  </si>
  <si>
    <t>Contractor Germany - Billable</t>
  </si>
  <si>
    <t>ERP Practice Germany</t>
  </si>
  <si>
    <t>Christian</t>
  </si>
  <si>
    <t>Huber</t>
  </si>
  <si>
    <t>ERP Practice India</t>
  </si>
  <si>
    <t>Ankush</t>
  </si>
  <si>
    <t>Virender</t>
  </si>
  <si>
    <t>Pradeep Kumar</t>
  </si>
  <si>
    <t>Yennabathula</t>
  </si>
  <si>
    <t>Venkatesh</t>
  </si>
  <si>
    <t>Bande</t>
  </si>
  <si>
    <t>Nazeer Ahamad</t>
  </si>
  <si>
    <t>Shaik</t>
  </si>
  <si>
    <t>Mani Krishna</t>
  </si>
  <si>
    <t>Ponnaganti</t>
  </si>
  <si>
    <t>Utkarsh</t>
  </si>
  <si>
    <t>Ulhas Karwa</t>
  </si>
  <si>
    <t>Smartsoft International Inc.</t>
  </si>
  <si>
    <t>Vijay</t>
  </si>
  <si>
    <t>Bheemanathini</t>
  </si>
  <si>
    <t>Raju</t>
  </si>
  <si>
    <t>Karre</t>
  </si>
  <si>
    <t>Contractor India - Billable</t>
  </si>
  <si>
    <t>Shashank</t>
  </si>
  <si>
    <t>Jain</t>
  </si>
  <si>
    <t>Arpit</t>
  </si>
  <si>
    <t>Modi</t>
  </si>
  <si>
    <t>Sanchit</t>
  </si>
  <si>
    <t>Bizsaclabs Softtech</t>
  </si>
  <si>
    <t>Praneetha</t>
  </si>
  <si>
    <t>Goduguluri</t>
  </si>
  <si>
    <t>ERP Practice Mexico</t>
  </si>
  <si>
    <t>Melvin</t>
  </si>
  <si>
    <t>Benitez</t>
  </si>
  <si>
    <t>Contractor Mexico - Billable</t>
  </si>
  <si>
    <t>ERP Practice Spain</t>
  </si>
  <si>
    <t>Bruce</t>
  </si>
  <si>
    <t>Murray</t>
  </si>
  <si>
    <t>Contractor Spain - Billable</t>
  </si>
  <si>
    <t>ERP Practice USA</t>
  </si>
  <si>
    <t>Cristina</t>
  </si>
  <si>
    <t>Purice</t>
  </si>
  <si>
    <t>Brian</t>
  </si>
  <si>
    <t>Kotch</t>
  </si>
  <si>
    <t>Rick D</t>
  </si>
  <si>
    <t>Humphress</t>
  </si>
  <si>
    <t>Elizabeth</t>
  </si>
  <si>
    <t>Stallings</t>
  </si>
  <si>
    <t>Veera</t>
  </si>
  <si>
    <t>Gandreti</t>
  </si>
  <si>
    <t>Stillwell</t>
  </si>
  <si>
    <t>Benjamin</t>
  </si>
  <si>
    <t>Lyskawa</t>
  </si>
  <si>
    <t>Sygna Solutions</t>
  </si>
  <si>
    <t>Venkateshwar</t>
  </si>
  <si>
    <t>Reddy</t>
  </si>
  <si>
    <t>Suresh</t>
  </si>
  <si>
    <t>Lingutla</t>
  </si>
  <si>
    <t>Vasanth</t>
  </si>
  <si>
    <t>Muthukumar</t>
  </si>
  <si>
    <t>Kumar</t>
  </si>
  <si>
    <t>Karthic</t>
  </si>
  <si>
    <t>Sekar</t>
  </si>
  <si>
    <t>iTECS</t>
  </si>
  <si>
    <t>Srinivasa</t>
  </si>
  <si>
    <t>Uppada</t>
  </si>
  <si>
    <t>Imolehin</t>
  </si>
  <si>
    <t>Roland</t>
  </si>
  <si>
    <t>Morgan</t>
  </si>
  <si>
    <t>Pandian</t>
  </si>
  <si>
    <t>Veluchamy</t>
  </si>
  <si>
    <t>Matt</t>
  </si>
  <si>
    <t>Paine</t>
  </si>
  <si>
    <t>Subrahmanyam</t>
  </si>
  <si>
    <t>Bodapati</t>
  </si>
  <si>
    <t>Salil</t>
  </si>
  <si>
    <t>Diskalkar</t>
  </si>
  <si>
    <t>Muni</t>
  </si>
  <si>
    <t>Pullaganti</t>
  </si>
  <si>
    <t>Tomer</t>
  </si>
  <si>
    <t>Sapir</t>
  </si>
  <si>
    <t>Marvel Technology Solutions</t>
  </si>
  <si>
    <t>Pamidimarri</t>
  </si>
  <si>
    <t>Shankar</t>
  </si>
  <si>
    <t>Prominds Business Consulting, Inc.</t>
  </si>
  <si>
    <t>Anil</t>
  </si>
  <si>
    <t>Ganipineni</t>
  </si>
  <si>
    <t>Organizational Effectiveness Practice India</t>
  </si>
  <si>
    <t>Arnold</t>
  </si>
  <si>
    <t>Infant</t>
  </si>
  <si>
    <t>Anju Kumari</t>
  </si>
  <si>
    <t>Vaishnav</t>
  </si>
  <si>
    <t>Surabhi</t>
  </si>
  <si>
    <t>Rai</t>
  </si>
  <si>
    <t>Organizational Effectiveness Practice USA</t>
  </si>
  <si>
    <t>Martha L</t>
  </si>
  <si>
    <t>Paniagua-Fowler</t>
  </si>
  <si>
    <t>Ravirajan S</t>
  </si>
  <si>
    <t>Munnirpallam</t>
  </si>
  <si>
    <t>Nickolas</t>
  </si>
  <si>
    <t>Devoe</t>
  </si>
  <si>
    <t>Melissa</t>
  </si>
  <si>
    <t>O'Blenis</t>
  </si>
  <si>
    <t>Shanka</t>
  </si>
  <si>
    <t>Wickramasinghe</t>
  </si>
  <si>
    <t>Maritza</t>
  </si>
  <si>
    <t>Armagan</t>
  </si>
  <si>
    <t>Andrea</t>
  </si>
  <si>
    <t>E Anderson</t>
  </si>
  <si>
    <t>PS Practice USA</t>
  </si>
  <si>
    <t>Anastacia</t>
  </si>
  <si>
    <t>Weaver</t>
  </si>
  <si>
    <t>Ian</t>
  </si>
  <si>
    <t>Perrin</t>
  </si>
  <si>
    <t>Asia</t>
  </si>
  <si>
    <t>A Carter</t>
  </si>
  <si>
    <t>George</t>
  </si>
  <si>
    <t>McClelland</t>
  </si>
  <si>
    <t>Couture</t>
  </si>
  <si>
    <t>Tilden</t>
  </si>
  <si>
    <t>Tanushree</t>
  </si>
  <si>
    <t>Joshi</t>
  </si>
  <si>
    <t>Change Capitol</t>
  </si>
  <si>
    <t>Jeneen</t>
  </si>
  <si>
    <t>McNally</t>
  </si>
  <si>
    <t>TS Practice India</t>
  </si>
  <si>
    <t>Surendhar Kumar</t>
  </si>
  <si>
    <t>Paramananthan</t>
  </si>
  <si>
    <t>Pooja</t>
  </si>
  <si>
    <t>Parmeshwar Dollin</t>
  </si>
  <si>
    <t>Iti</t>
  </si>
  <si>
    <t>Rajni</t>
  </si>
  <si>
    <t>Harsha</t>
  </si>
  <si>
    <t>Sowmiya</t>
  </si>
  <si>
    <t>Ramesh</t>
  </si>
  <si>
    <t>ShubhamSaurabh</t>
  </si>
  <si>
    <t>Choudhary</t>
  </si>
  <si>
    <t>Srinivas Rao</t>
  </si>
  <si>
    <t>Oggi</t>
  </si>
  <si>
    <t>Devadarshini</t>
  </si>
  <si>
    <t>D</t>
  </si>
  <si>
    <t>Suyash</t>
  </si>
  <si>
    <t>Bhalinge</t>
  </si>
  <si>
    <t>Kaif</t>
  </si>
  <si>
    <t>Jamil</t>
  </si>
  <si>
    <t>Isha</t>
  </si>
  <si>
    <t>Manish N</t>
  </si>
  <si>
    <t>Gond</t>
  </si>
  <si>
    <t>Govind</t>
  </si>
  <si>
    <t>Biradar</t>
  </si>
  <si>
    <t>Palak</t>
  </si>
  <si>
    <t>Pasari</t>
  </si>
  <si>
    <t>Mansur</t>
  </si>
  <si>
    <t>Shaikh</t>
  </si>
  <si>
    <t>Yagnik</t>
  </si>
  <si>
    <t>Sakhiya</t>
  </si>
  <si>
    <t>Shikha</t>
  </si>
  <si>
    <t>Yadav</t>
  </si>
  <si>
    <t>Anju</t>
  </si>
  <si>
    <t>V S</t>
  </si>
  <si>
    <t>Varun</t>
  </si>
  <si>
    <t>Krishnadas</t>
  </si>
  <si>
    <t>Anshika</t>
  </si>
  <si>
    <t>Sree Vignesh</t>
  </si>
  <si>
    <t>A K</t>
  </si>
  <si>
    <t>Turkar</t>
  </si>
  <si>
    <t>Yukendra Kumar</t>
  </si>
  <si>
    <t>R M</t>
  </si>
  <si>
    <t>Atul</t>
  </si>
  <si>
    <t>Bhardwaj</t>
  </si>
  <si>
    <t>Periasamy</t>
  </si>
  <si>
    <t>Kshitij</t>
  </si>
  <si>
    <t>Mall</t>
  </si>
  <si>
    <t>Syam Sundar</t>
  </si>
  <si>
    <t>Ethakota</t>
  </si>
  <si>
    <t>Vigneshwaran</t>
  </si>
  <si>
    <t>Arumugam</t>
  </si>
  <si>
    <t>Arnav</t>
  </si>
  <si>
    <t>Tyagi</t>
  </si>
  <si>
    <t>Parimala</t>
  </si>
  <si>
    <t>Rohan</t>
  </si>
  <si>
    <t>Kapoor</t>
  </si>
  <si>
    <t>Aleemullah</t>
  </si>
  <si>
    <t>Velmurugananthan</t>
  </si>
  <si>
    <t>Singaravel</t>
  </si>
  <si>
    <t>Karan KrishnaKumar</t>
  </si>
  <si>
    <t>Nair</t>
  </si>
  <si>
    <t>Arun</t>
  </si>
  <si>
    <t>Thakur</t>
  </si>
  <si>
    <t>Rahul Madev</t>
  </si>
  <si>
    <t>Gavane</t>
  </si>
  <si>
    <t>Sanjay G</t>
  </si>
  <si>
    <t>Gouda</t>
  </si>
  <si>
    <t>Rajesh</t>
  </si>
  <si>
    <t>Kotian</t>
  </si>
  <si>
    <t>Lalit Kumar</t>
  </si>
  <si>
    <t>Sahu</t>
  </si>
  <si>
    <t>Kishore Kumar</t>
  </si>
  <si>
    <t>RR</t>
  </si>
  <si>
    <t>Shyamala</t>
  </si>
  <si>
    <t>Rajappa</t>
  </si>
  <si>
    <t>Virachith Reddy</t>
  </si>
  <si>
    <t>Yeruva</t>
  </si>
  <si>
    <t>Karanraj</t>
  </si>
  <si>
    <t>Gadhi</t>
  </si>
  <si>
    <t>Simran</t>
  </si>
  <si>
    <t>F</t>
  </si>
  <si>
    <t>Tamilselvi</t>
  </si>
  <si>
    <t>Vellingiri</t>
  </si>
  <si>
    <t>Yogalakshmi</t>
  </si>
  <si>
    <t>R</t>
  </si>
  <si>
    <t>Vidhya</t>
  </si>
  <si>
    <t>Subramaniam</t>
  </si>
  <si>
    <t>Sahitya</t>
  </si>
  <si>
    <t>Chadaram</t>
  </si>
  <si>
    <t>Divya</t>
  </si>
  <si>
    <t>Navashanmugam</t>
  </si>
  <si>
    <t>Asokan</t>
  </si>
  <si>
    <t>Sarankumar</t>
  </si>
  <si>
    <t>Kanagaraj</t>
  </si>
  <si>
    <t>Mithila Sree</t>
  </si>
  <si>
    <t>Karthickeyyan</t>
  </si>
  <si>
    <t>Perumalsamy</t>
  </si>
  <si>
    <t>Swarna</t>
  </si>
  <si>
    <t>Maran</t>
  </si>
  <si>
    <t>Krithika</t>
  </si>
  <si>
    <t>Balasubramani</t>
  </si>
  <si>
    <t>Suhail</t>
  </si>
  <si>
    <t>Pasha</t>
  </si>
  <si>
    <t>Dhakshnamoorthi</t>
  </si>
  <si>
    <t>Tamilmani</t>
  </si>
  <si>
    <t>Raghul</t>
  </si>
  <si>
    <t>Vijay R</t>
  </si>
  <si>
    <t>Chandrasekar</t>
  </si>
  <si>
    <t>Subash</t>
  </si>
  <si>
    <t>Balakrishnan</t>
  </si>
  <si>
    <t>Shanmugapriya</t>
  </si>
  <si>
    <t>Velusamy</t>
  </si>
  <si>
    <t>Santhosh</t>
  </si>
  <si>
    <t>Manikantan</t>
  </si>
  <si>
    <t>Raviraj</t>
  </si>
  <si>
    <t>Narayanan</t>
  </si>
  <si>
    <t>Ravi Teja</t>
  </si>
  <si>
    <t>Adari</t>
  </si>
  <si>
    <t>Ram Prasad Reddy</t>
  </si>
  <si>
    <t>Siddireddy</t>
  </si>
  <si>
    <t>Priyanka Nagesh</t>
  </si>
  <si>
    <t>Ladage</t>
  </si>
  <si>
    <t>Gummadi</t>
  </si>
  <si>
    <t>Pallavi Ajinkya</t>
  </si>
  <si>
    <t>Shelke</t>
  </si>
  <si>
    <t>Maniyarasan</t>
  </si>
  <si>
    <t>Nagarajan</t>
  </si>
  <si>
    <t>Madhu</t>
  </si>
  <si>
    <t>Kochar</t>
  </si>
  <si>
    <t>Kunhi Ahamed</t>
  </si>
  <si>
    <t>Faizan</t>
  </si>
  <si>
    <t>Karunakaran</t>
  </si>
  <si>
    <t>Isacc</t>
  </si>
  <si>
    <t>Stewart W</t>
  </si>
  <si>
    <t>Gogilavani</t>
  </si>
  <si>
    <t>VasanthaKumar</t>
  </si>
  <si>
    <t>Giridhar</t>
  </si>
  <si>
    <t>Alakkadan</t>
  </si>
  <si>
    <t>Firos</t>
  </si>
  <si>
    <t>Dhanalakshmi</t>
  </si>
  <si>
    <t>Arunagiri</t>
  </si>
  <si>
    <t>Chaithra</t>
  </si>
  <si>
    <t>H S</t>
  </si>
  <si>
    <t>Benazir</t>
  </si>
  <si>
    <t>Ashwini</t>
  </si>
  <si>
    <t>Raghavendran</t>
  </si>
  <si>
    <t>Arpith Kumar</t>
  </si>
  <si>
    <t>Sudhakar</t>
  </si>
  <si>
    <t>Ankit Kumar</t>
  </si>
  <si>
    <t>Anirudh</t>
  </si>
  <si>
    <t>Pedaprolu</t>
  </si>
  <si>
    <t>Ganesh Shanbhag</t>
  </si>
  <si>
    <t>TS Practice USA</t>
  </si>
  <si>
    <t>Prashant</t>
  </si>
  <si>
    <t>Verma</t>
  </si>
  <si>
    <t>Gerard M</t>
  </si>
  <si>
    <t>Montague</t>
  </si>
  <si>
    <t>K Varakala</t>
  </si>
  <si>
    <t>Jai</t>
  </si>
  <si>
    <t>K Jain</t>
  </si>
  <si>
    <t>Danielle</t>
  </si>
  <si>
    <t>Duncan</t>
  </si>
  <si>
    <t>Amol</t>
  </si>
  <si>
    <t>S Ghalke</t>
  </si>
  <si>
    <t>Meghana</t>
  </si>
  <si>
    <t>Bachina</t>
  </si>
  <si>
    <t>Babu</t>
  </si>
  <si>
    <t>Suma Sri</t>
  </si>
  <si>
    <t>Amujuri</t>
  </si>
  <si>
    <t>Agesh</t>
  </si>
  <si>
    <t>Yedugani</t>
  </si>
  <si>
    <t>Sivasai</t>
  </si>
  <si>
    <t>Yellamraju</t>
  </si>
  <si>
    <t>Rahul</t>
  </si>
  <si>
    <t>Pittala</t>
  </si>
  <si>
    <t>Kavitha</t>
  </si>
  <si>
    <t>Marichetty</t>
  </si>
  <si>
    <t>Shikder Al</t>
  </si>
  <si>
    <t>Zahid</t>
  </si>
  <si>
    <t>Steven</t>
  </si>
  <si>
    <t>Heaster</t>
  </si>
  <si>
    <t>Mustafa</t>
  </si>
  <si>
    <t>Mezaal</t>
  </si>
  <si>
    <t>Root IT Solutions</t>
  </si>
  <si>
    <t>Dravidam</t>
  </si>
  <si>
    <t>Murtaza</t>
  </si>
  <si>
    <t>Halwadwala</t>
  </si>
  <si>
    <t>Jinali</t>
  </si>
  <si>
    <t>Kamdar</t>
  </si>
  <si>
    <t>Customers</t>
  </si>
  <si>
    <t>Updated 9/23/25</t>
  </si>
  <si>
    <t>Updated 11/7/25</t>
  </si>
  <si>
    <t>Service</t>
  </si>
  <si>
    <t>Camryn Barry</t>
  </si>
  <si>
    <t>Jai Jain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</si>
</sst>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4" formatCode="_(&quot;$&quot;* #,##0.00_);_(&quot;$&quot;* \(#,##0.00\);_(&quot;$&quot;* &quot;-&quot;??_);_(@_)"/>
    <numFmt numFmtId="43" formatCode="_(* #,##0.00_);_(* \(#,##0.00\);_(* &quot;-&quot;??_);_(@_)"/>
    <numFmt numFmtId="164" formatCode="_(&quot;$&quot;* #,##0_);_(&quot;$&quot;* \(#,##0\);_(&quot;$&quot;* &quot;-&quot;??_);_(@_)"/>
    <numFmt numFmtId="165" formatCode="_(* #,##0_);_(* \(#,##0\);_(* &quot;-&quot;??_);_(@_)"/>
    <numFmt numFmtId="166" formatCode="[$-409]mmm\-yy;@"/>
    <numFmt numFmtId="167" formatCode="&quot;$&quot;#,##0"/>
    <numFmt numFmtId="168" formatCode="0.00000%"/>
    <numFmt numFmtId="169" formatCode="m/d;@"/>
    <numFmt numFmtId="170" formatCode="&quot;$&quot;#,##0.00"/>
    <numFmt numFmtId="171" formatCode="0.0000%"/>
    <numFmt numFmtId="172" formatCode="0.000%"/>
  </numFmts>
  <fonts count="32"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sz val="11"/>
      <color rgb="FFFF0000"/>
      <name val="Calibri"/>
      <family val="2"/>
      <scheme val="minor"/>
    </font>
    <font>
      <b/>
      <sz val="11"/>
      <color rgb="FFFF0000"/>
      <name val="Calibri"/>
      <family val="2"/>
      <scheme val="minor"/>
    </font>
    <font>
      <sz val="12"/>
      <name val="Calibri"/>
      <family val="2"/>
      <scheme val="minor"/>
    </font>
    <font>
      <b/>
      <sz val="12"/>
      <name val="Calibri"/>
      <family val="2"/>
      <scheme val="minor"/>
    </font>
    <font>
      <b/>
      <sz val="18"/>
      <color theme="1"/>
      <name val="Calibri"/>
      <family val="2"/>
      <scheme val="minor"/>
    </font>
    <font>
      <sz val="9"/>
      <color indexed="81"/>
      <name val="Tahoma"/>
      <family val="2"/>
    </font>
    <font>
      <b/>
      <sz val="9"/>
      <color indexed="81"/>
      <name val="Tahoma"/>
      <family val="2"/>
    </font>
    <font>
      <b/>
      <sz val="14"/>
      <color theme="1"/>
      <name val="Calibri"/>
      <family val="2"/>
      <scheme val="minor"/>
    </font>
    <font>
      <sz val="11"/>
      <name val="Calibri"/>
      <family val="2"/>
      <scheme val="minor"/>
    </font>
    <font>
      <sz val="10"/>
      <name val="Calibri"/>
      <family val="2"/>
      <scheme val="minor"/>
    </font>
    <font>
      <b/>
      <sz val="11"/>
      <name val="Calibri"/>
      <family val="2"/>
      <scheme val="minor"/>
    </font>
    <font>
      <b/>
      <sz val="11"/>
      <color theme="0"/>
      <name val="Calibri"/>
      <family val="2"/>
      <scheme val="minor"/>
    </font>
    <font>
      <sz val="10"/>
      <color theme="1"/>
      <name val="Calibri"/>
      <family val="2"/>
      <scheme val="minor"/>
    </font>
    <font>
      <sz val="14"/>
      <color theme="1"/>
      <name val="Calibri"/>
      <family val="2"/>
      <scheme val="minor"/>
    </font>
    <font>
      <u/>
      <sz val="11"/>
      <color theme="10"/>
      <name val="Calibri"/>
      <family val="2"/>
      <scheme val="minor"/>
    </font>
    <font>
      <b/>
      <sz val="12"/>
      <color theme="1"/>
      <name val="Calibri"/>
      <family val="2"/>
      <scheme val="minor"/>
    </font>
    <font>
      <b/>
      <sz val="11"/>
      <color theme="1"/>
      <name val="Arial"/>
      <family val="2"/>
    </font>
    <font>
      <sz val="11"/>
      <color theme="1"/>
      <name val="Arial"/>
      <family val="2"/>
    </font>
    <font>
      <b/>
      <i/>
      <sz val="11"/>
      <color theme="1"/>
      <name val="Calibri"/>
      <family val="2"/>
      <scheme val="minor"/>
    </font>
    <font>
      <b/>
      <sz val="11"/>
      <color theme="8"/>
      <name val="Calibri"/>
      <family val="2"/>
      <scheme val="minor"/>
    </font>
    <font>
      <b/>
      <sz val="20"/>
      <color theme="1"/>
      <name val="Calibri"/>
      <family val="2"/>
      <scheme val="minor"/>
    </font>
    <font>
      <sz val="9"/>
      <color theme="1"/>
      <name val="Calibri"/>
      <family val="2"/>
      <scheme val="minor"/>
    </font>
    <font>
      <b/>
      <sz val="9"/>
      <color theme="1"/>
      <name val="Calibri"/>
      <family val="2"/>
      <scheme val="minor"/>
    </font>
    <font>
      <sz val="9"/>
      <name val="Calibri"/>
      <family val="2"/>
      <scheme val="minor"/>
    </font>
    <font>
      <sz val="9"/>
      <color theme="8" tint="0.59999389629810485"/>
      <name val="Calibri"/>
      <family val="2"/>
      <scheme val="minor"/>
    </font>
    <font>
      <b/>
      <sz val="8"/>
      <color theme="0"/>
      <name val="Calibri"/>
      <family val="2"/>
      <scheme val="minor"/>
    </font>
    <font>
      <b/>
      <sz val="10"/>
      <color theme="1"/>
      <name val="Calibri"/>
      <family val="2"/>
      <scheme val="minor"/>
    </font>
    <font>
      <b/>
      <sz val="10"/>
      <color theme="1"/>
      <name val="Arial"/>
      <family val="2"/>
    </font>
  </fonts>
  <fills count="14">
    <fill>
      <patternFill patternType="none"/>
    </fill>
    <fill>
      <patternFill patternType="gray125"/>
    </fill>
    <fill>
      <patternFill patternType="solid">
        <fgColor rgb="FF92D050"/>
        <bgColor indexed="64"/>
      </patternFill>
    </fill>
    <fill>
      <patternFill patternType="solid">
        <fgColor theme="0" tint="-4.9989318521683403E-2"/>
        <bgColor indexed="64"/>
      </patternFill>
    </fill>
    <fill>
      <patternFill patternType="solid">
        <fgColor theme="0"/>
        <bgColor indexed="64"/>
      </patternFill>
    </fill>
    <fill>
      <patternFill patternType="solid">
        <fgColor rgb="FF00B0F0"/>
        <bgColor indexed="64"/>
      </patternFill>
    </fill>
    <fill>
      <patternFill patternType="solid">
        <fgColor rgb="FF00B050"/>
        <bgColor indexed="64"/>
      </patternFill>
    </fill>
    <fill>
      <patternFill patternType="solid">
        <fgColor theme="0" tint="-0.14999847407452621"/>
        <bgColor indexed="64"/>
      </patternFill>
    </fill>
    <fill>
      <patternFill patternType="solid">
        <fgColor rgb="FF4A4778"/>
        <bgColor indexed="64"/>
      </patternFill>
    </fill>
    <fill>
      <patternFill patternType="solid">
        <fgColor rgb="FFACC953"/>
        <bgColor indexed="64"/>
      </patternFill>
    </fill>
    <fill>
      <patternFill patternType="solid">
        <fgColor theme="0" tint="-0.249977111117893"/>
        <bgColor indexed="64"/>
      </patternFill>
    </fill>
    <fill>
      <patternFill patternType="solid">
        <fgColor rgb="FFFFFF00"/>
        <bgColor indexed="64"/>
      </patternFill>
    </fill>
    <fill>
      <patternFill patternType="solid">
        <fgColor rgb="FFCC99FF"/>
        <bgColor indexed="64"/>
      </patternFill>
    </fill>
    <fill>
      <patternFill patternType="solid">
        <fgColor theme="2"/>
        <bgColor indexed="64"/>
      </patternFill>
    </fill>
  </fills>
  <borders count="5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right/>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diagonal/>
    </border>
    <border>
      <left/>
      <right/>
      <top style="thin">
        <color indexed="64"/>
      </top>
      <bottom style="thin">
        <color indexed="64"/>
      </bottom>
      <diagonal/>
    </border>
    <border>
      <left style="thin">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medium">
        <color indexed="64"/>
      </right>
      <top/>
      <bottom/>
      <diagonal/>
    </border>
    <border>
      <left/>
      <right/>
      <top style="medium">
        <color indexed="64"/>
      </top>
      <bottom style="medium">
        <color indexed="64"/>
      </bottom>
      <diagonal/>
    </border>
    <border>
      <left style="thin">
        <color indexed="64"/>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64"/>
      </left>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thin">
        <color indexed="64"/>
      </left>
      <right/>
      <top/>
      <bottom style="thin">
        <color indexed="64"/>
      </bottom>
      <diagonal/>
    </border>
    <border>
      <left style="thin">
        <color indexed="64"/>
      </left>
      <right/>
      <top style="medium">
        <color indexed="64"/>
      </top>
      <bottom style="medium">
        <color indexed="64"/>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medium">
        <color indexed="64"/>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style="medium">
        <color indexed="64"/>
      </left>
      <right/>
      <top/>
      <bottom/>
      <diagonal/>
    </border>
    <border>
      <left style="medium">
        <color indexed="64"/>
      </left>
      <right style="medium">
        <color indexed="64"/>
      </right>
      <top style="thin">
        <color indexed="64"/>
      </top>
      <bottom/>
      <diagonal/>
    </border>
  </borders>
  <cellStyleXfs count="5">
    <xf numFmtId="0" fontId="0" fillId="0" borderId="0"/>
    <xf numFmtId="44"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18" fillId="0" borderId="0" applyNumberFormat="0" applyFill="0" applyBorder="0" applyAlignment="0" applyProtection="0"/>
  </cellStyleXfs>
  <cellXfs count="464">
    <xf numFmtId="0" fontId="0" fillId="0" borderId="0" xfId="0"/>
    <xf numFmtId="0" fontId="0" fillId="0" borderId="0" xfId="0" applyAlignment="1">
      <alignment horizontal="center"/>
    </xf>
    <xf numFmtId="0" fontId="6" fillId="0" borderId="0" xfId="0" applyFont="1"/>
    <xf numFmtId="164" fontId="6" fillId="0" borderId="0" xfId="1" applyNumberFormat="1" applyFont="1" applyFill="1" applyBorder="1"/>
    <xf numFmtId="0" fontId="7" fillId="0" borderId="0" xfId="0" applyFont="1" applyAlignment="1">
      <alignment horizontal="center" vertical="center" wrapText="1"/>
    </xf>
    <xf numFmtId="0" fontId="7" fillId="3" borderId="0" xfId="0" applyFont="1" applyFill="1" applyAlignment="1">
      <alignment horizontal="center" vertical="center" wrapText="1"/>
    </xf>
    <xf numFmtId="0" fontId="6" fillId="3" borderId="0" xfId="0" applyFont="1" applyFill="1"/>
    <xf numFmtId="0" fontId="0" fillId="3" borderId="0" xfId="0" applyFill="1"/>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2" fillId="0" borderId="0" xfId="0" applyFont="1" applyAlignment="1" applyProtection="1">
      <alignment horizontal="center" vertical="center" wrapText="1"/>
      <protection locked="0"/>
    </xf>
    <xf numFmtId="0" fontId="0" fillId="0" borderId="0" xfId="0" applyAlignment="1" applyProtection="1">
      <alignment horizontal="left" vertical="center" wrapText="1"/>
      <protection locked="0"/>
    </xf>
    <xf numFmtId="0" fontId="0" fillId="0" borderId="0" xfId="0" applyAlignment="1" applyProtection="1">
      <alignment wrapText="1"/>
      <protection locked="0"/>
    </xf>
    <xf numFmtId="0" fontId="2" fillId="0" borderId="0" xfId="0" applyFont="1" applyAlignment="1" applyProtection="1">
      <alignment wrapText="1"/>
      <protection locked="0"/>
    </xf>
    <xf numFmtId="164" fontId="0" fillId="0" borderId="0" xfId="1" applyNumberFormat="1" applyFont="1" applyFill="1" applyBorder="1" applyAlignment="1" applyProtection="1">
      <alignment wrapText="1"/>
      <protection locked="0"/>
    </xf>
    <xf numFmtId="0" fontId="11" fillId="4" borderId="0" xfId="0" applyFont="1" applyFill="1"/>
    <xf numFmtId="0" fontId="0" fillId="4" borderId="0" xfId="0" applyFill="1"/>
    <xf numFmtId="9" fontId="0" fillId="3" borderId="0" xfId="3" applyFont="1" applyFill="1"/>
    <xf numFmtId="9" fontId="0" fillId="3" borderId="0" xfId="0" applyNumberFormat="1" applyFill="1"/>
    <xf numFmtId="0" fontId="12" fillId="0" borderId="0" xfId="0" applyFont="1"/>
    <xf numFmtId="164" fontId="0" fillId="0" borderId="0" xfId="1" applyNumberFormat="1" applyFont="1" applyFill="1"/>
    <xf numFmtId="164" fontId="12" fillId="0" borderId="0" xfId="1" applyNumberFormat="1" applyFont="1" applyFill="1" applyBorder="1"/>
    <xf numFmtId="0" fontId="12" fillId="3" borderId="0" xfId="0" applyFont="1" applyFill="1"/>
    <xf numFmtId="164" fontId="2" fillId="0" borderId="7" xfId="1" applyNumberFormat="1" applyFont="1" applyFill="1" applyBorder="1" applyAlignment="1" applyProtection="1">
      <alignment wrapText="1"/>
    </xf>
    <xf numFmtId="10" fontId="5" fillId="0" borderId="7" xfId="3" applyNumberFormat="1" applyFont="1" applyFill="1" applyBorder="1" applyAlignment="1" applyProtection="1">
      <alignment horizontal="center" vertical="center" wrapText="1"/>
    </xf>
    <xf numFmtId="164" fontId="5" fillId="0" borderId="7" xfId="1" applyNumberFormat="1" applyFont="1" applyFill="1" applyBorder="1" applyAlignment="1" applyProtection="1">
      <alignment wrapText="1"/>
    </xf>
    <xf numFmtId="0" fontId="7" fillId="3" borderId="0" xfId="0" applyFont="1" applyFill="1" applyAlignment="1">
      <alignment vertical="center" wrapText="1"/>
    </xf>
    <xf numFmtId="0" fontId="6" fillId="3" borderId="0" xfId="0" applyFont="1" applyFill="1" applyAlignment="1">
      <alignment vertical="center" wrapText="1"/>
    </xf>
    <xf numFmtId="164" fontId="0" fillId="4" borderId="0" xfId="1" applyNumberFormat="1" applyFont="1" applyFill="1" applyBorder="1" applyAlignment="1" applyProtection="1">
      <alignment vertical="center" wrapText="1"/>
    </xf>
    <xf numFmtId="164" fontId="2" fillId="0" borderId="12" xfId="1" applyNumberFormat="1" applyFont="1" applyFill="1" applyBorder="1" applyAlignment="1" applyProtection="1">
      <alignment horizontal="center" vertical="center" wrapText="1"/>
    </xf>
    <xf numFmtId="9" fontId="8" fillId="2" borderId="12" xfId="3" applyFont="1" applyFill="1" applyBorder="1" applyAlignment="1" applyProtection="1">
      <alignment horizontal="center" vertical="center" wrapText="1"/>
      <protection hidden="1"/>
    </xf>
    <xf numFmtId="9" fontId="0" fillId="0" borderId="1" xfId="3" applyFont="1" applyBorder="1" applyAlignment="1" applyProtection="1">
      <alignment horizontal="center" vertical="center" wrapText="1"/>
      <protection hidden="1"/>
    </xf>
    <xf numFmtId="164" fontId="0" fillId="0" borderId="1" xfId="1" applyNumberFormat="1" applyFont="1" applyFill="1" applyBorder="1" applyAlignment="1" applyProtection="1">
      <alignment horizontal="left" vertical="center"/>
      <protection hidden="1"/>
    </xf>
    <xf numFmtId="49" fontId="0" fillId="0" borderId="0" xfId="0" applyNumberFormat="1" applyAlignment="1">
      <alignment wrapText="1"/>
    </xf>
    <xf numFmtId="0" fontId="2" fillId="5" borderId="0" xfId="0" applyFont="1" applyFill="1" applyAlignment="1">
      <alignment vertical="center"/>
    </xf>
    <xf numFmtId="0" fontId="2" fillId="6" borderId="0" xfId="0" applyFont="1" applyFill="1" applyAlignment="1">
      <alignment horizontal="center" vertical="center" wrapText="1"/>
    </xf>
    <xf numFmtId="0" fontId="0" fillId="0" borderId="0" xfId="0" applyAlignment="1">
      <alignment vertical="center"/>
    </xf>
    <xf numFmtId="0" fontId="2" fillId="7" borderId="0" xfId="0" applyFont="1" applyFill="1" applyAlignment="1">
      <alignment horizontal="center" vertical="center" wrapText="1"/>
    </xf>
    <xf numFmtId="0" fontId="12" fillId="0" borderId="0" xfId="0" applyFont="1" applyAlignment="1">
      <alignment horizontal="center"/>
    </xf>
    <xf numFmtId="0" fontId="6" fillId="0" borderId="0" xfId="0" applyFont="1" applyAlignment="1">
      <alignment horizontal="center"/>
    </xf>
    <xf numFmtId="0" fontId="12" fillId="0" borderId="0" xfId="0" applyFont="1" applyAlignment="1">
      <alignment horizontal="left"/>
    </xf>
    <xf numFmtId="0" fontId="6" fillId="0" borderId="0" xfId="0" applyFont="1" applyAlignment="1">
      <alignment horizontal="left"/>
    </xf>
    <xf numFmtId="0" fontId="12" fillId="3" borderId="0" xfId="0" applyFont="1" applyFill="1" applyAlignment="1">
      <alignment horizontal="center" vertical="center" wrapText="1"/>
    </xf>
    <xf numFmtId="0" fontId="12" fillId="3" borderId="0" xfId="0" applyFont="1" applyFill="1" applyAlignment="1">
      <alignment horizontal="left" vertical="center" wrapText="1"/>
    </xf>
    <xf numFmtId="0" fontId="13" fillId="0" borderId="0" xfId="0" applyFont="1" applyAlignment="1">
      <alignment horizontal="center"/>
    </xf>
    <xf numFmtId="166" fontId="12" fillId="0" borderId="0" xfId="0" applyNumberFormat="1" applyFont="1"/>
    <xf numFmtId="0" fontId="13" fillId="3" borderId="0" xfId="0" applyFont="1" applyFill="1" applyAlignment="1">
      <alignment horizontal="center" vertical="center"/>
    </xf>
    <xf numFmtId="0" fontId="0" fillId="0" borderId="1" xfId="0" applyBorder="1" applyAlignment="1" applyProtection="1">
      <alignment horizontal="center" vertical="center" wrapText="1"/>
      <protection hidden="1"/>
    </xf>
    <xf numFmtId="9" fontId="0" fillId="4" borderId="0" xfId="3" applyFont="1" applyFill="1" applyBorder="1" applyAlignment="1" applyProtection="1">
      <alignment horizontal="center" vertical="center" wrapText="1"/>
      <protection hidden="1"/>
    </xf>
    <xf numFmtId="0" fontId="0" fillId="0" borderId="0" xfId="0" applyAlignment="1">
      <alignment horizontal="center" vertical="center"/>
    </xf>
    <xf numFmtId="43" fontId="2" fillId="0" borderId="7" xfId="2" applyFont="1" applyFill="1" applyBorder="1" applyAlignment="1" applyProtection="1">
      <alignment wrapText="1"/>
    </xf>
    <xf numFmtId="164" fontId="2" fillId="0" borderId="1" xfId="1" applyNumberFormat="1" applyFont="1" applyFill="1" applyBorder="1" applyAlignment="1" applyProtection="1">
      <alignment horizontal="center" vertical="center" wrapText="1"/>
    </xf>
    <xf numFmtId="14" fontId="0" fillId="4" borderId="1" xfId="0" applyNumberFormat="1" applyFill="1" applyBorder="1" applyAlignment="1" applyProtection="1">
      <alignment horizontal="center" vertical="center" wrapText="1"/>
      <protection locked="0"/>
    </xf>
    <xf numFmtId="167" fontId="0" fillId="0" borderId="1" xfId="1" applyNumberFormat="1" applyFont="1" applyBorder="1" applyAlignment="1" applyProtection="1">
      <alignment horizontal="center" vertical="center" wrapText="1"/>
      <protection hidden="1"/>
    </xf>
    <xf numFmtId="0" fontId="0" fillId="0" borderId="1" xfId="0" applyBorder="1" applyAlignment="1" applyProtection="1">
      <alignment vertical="center"/>
      <protection locked="0"/>
    </xf>
    <xf numFmtId="0" fontId="0" fillId="0" borderId="5" xfId="0" applyBorder="1" applyAlignment="1" applyProtection="1">
      <alignment horizontal="left" vertical="center"/>
      <protection locked="0"/>
    </xf>
    <xf numFmtId="0" fontId="0" fillId="0" borderId="1" xfId="0" applyBorder="1" applyAlignment="1" applyProtection="1">
      <alignment horizontal="left" vertical="center"/>
      <protection locked="0"/>
    </xf>
    <xf numFmtId="0" fontId="0" fillId="0" borderId="1" xfId="0" applyBorder="1" applyProtection="1">
      <protection locked="0"/>
    </xf>
    <xf numFmtId="2" fontId="0" fillId="0" borderId="1" xfId="0" applyNumberFormat="1" applyBorder="1" applyAlignment="1" applyProtection="1">
      <alignment horizontal="right" vertical="center" wrapText="1"/>
      <protection locked="0"/>
    </xf>
    <xf numFmtId="10" fontId="4" fillId="0" borderId="10" xfId="3" applyNumberFormat="1" applyFont="1" applyFill="1" applyBorder="1" applyAlignment="1" applyProtection="1">
      <alignment horizontal="center" vertical="center" wrapText="1"/>
      <protection locked="0"/>
    </xf>
    <xf numFmtId="2" fontId="0" fillId="0" borderId="1" xfId="0" applyNumberFormat="1" applyBorder="1" applyAlignment="1" applyProtection="1">
      <alignment wrapText="1"/>
      <protection locked="0"/>
    </xf>
    <xf numFmtId="0" fontId="2" fillId="0" borderId="1" xfId="0" applyFont="1" applyBorder="1" applyAlignment="1" applyProtection="1">
      <alignment horizontal="center" vertical="center" wrapText="1"/>
      <protection locked="0"/>
    </xf>
    <xf numFmtId="0" fontId="7" fillId="9" borderId="0" xfId="0" applyFont="1" applyFill="1" applyAlignment="1">
      <alignment horizontal="center" vertical="center" wrapText="1"/>
    </xf>
    <xf numFmtId="0" fontId="7" fillId="9" borderId="0" xfId="0" applyFont="1" applyFill="1" applyAlignment="1">
      <alignment horizontal="center" vertical="center"/>
    </xf>
    <xf numFmtId="0" fontId="7" fillId="9" borderId="0" xfId="0" applyFont="1" applyFill="1" applyAlignment="1">
      <alignment horizontal="left" vertical="center" wrapText="1"/>
    </xf>
    <xf numFmtId="0" fontId="14" fillId="9" borderId="0" xfId="0" applyFont="1" applyFill="1" applyAlignment="1">
      <alignment horizontal="center" vertical="center" wrapText="1"/>
    </xf>
    <xf numFmtId="164" fontId="7" fillId="9" borderId="0" xfId="1" applyNumberFormat="1" applyFont="1" applyFill="1" applyBorder="1" applyAlignment="1">
      <alignment horizontal="center" vertical="center" wrapText="1"/>
    </xf>
    <xf numFmtId="0" fontId="0" fillId="4" borderId="0" xfId="0" applyFill="1" applyAlignment="1">
      <alignment horizontal="center"/>
    </xf>
    <xf numFmtId="0" fontId="0" fillId="4" borderId="0" xfId="0" applyFill="1" applyAlignment="1">
      <alignment horizontal="center" vertical="center"/>
    </xf>
    <xf numFmtId="0" fontId="2" fillId="0" borderId="0" xfId="0" applyFont="1"/>
    <xf numFmtId="0" fontId="2" fillId="9" borderId="0" xfId="0" applyFont="1" applyFill="1"/>
    <xf numFmtId="0" fontId="2" fillId="4" borderId="0" xfId="0" applyFont="1" applyFill="1" applyAlignment="1">
      <alignment horizontal="center"/>
    </xf>
    <xf numFmtId="0" fontId="2" fillId="4" borderId="0" xfId="0" applyFont="1" applyFill="1" applyAlignment="1">
      <alignment horizontal="center" vertical="center"/>
    </xf>
    <xf numFmtId="0" fontId="15" fillId="8"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vertical="center"/>
    </xf>
    <xf numFmtId="0" fontId="0" fillId="0" borderId="1" xfId="0" applyBorder="1" applyAlignment="1">
      <alignment horizontal="center" vertical="center"/>
    </xf>
    <xf numFmtId="43" fontId="0" fillId="0" borderId="1" xfId="2" applyFont="1" applyBorder="1" applyAlignment="1" applyProtection="1">
      <alignment vertical="center"/>
    </xf>
    <xf numFmtId="44" fontId="0" fillId="0" borderId="1" xfId="1" applyFont="1" applyBorder="1" applyAlignment="1" applyProtection="1">
      <alignment vertical="center"/>
    </xf>
    <xf numFmtId="44" fontId="0" fillId="0" borderId="1" xfId="0" applyNumberFormat="1" applyBorder="1" applyAlignment="1">
      <alignment vertical="center"/>
    </xf>
    <xf numFmtId="2" fontId="0" fillId="0" borderId="1" xfId="0" applyNumberFormat="1" applyBorder="1" applyAlignment="1">
      <alignment horizontal="center" vertical="center"/>
    </xf>
    <xf numFmtId="44" fontId="0" fillId="0" borderId="1" xfId="1" applyFont="1" applyBorder="1" applyProtection="1"/>
    <xf numFmtId="0" fontId="2" fillId="4" borderId="0" xfId="0" applyFont="1" applyFill="1"/>
    <xf numFmtId="0" fontId="15" fillId="8" borderId="1" xfId="0" applyFont="1" applyFill="1" applyBorder="1" applyAlignment="1">
      <alignment horizontal="center"/>
    </xf>
    <xf numFmtId="0" fontId="0" fillId="4" borderId="0" xfId="0" applyFill="1" applyAlignment="1">
      <alignment wrapText="1"/>
    </xf>
    <xf numFmtId="43" fontId="2" fillId="4" borderId="0" xfId="2" applyFont="1" applyFill="1" applyBorder="1" applyProtection="1"/>
    <xf numFmtId="165" fontId="2" fillId="4" borderId="0" xfId="2" applyNumberFormat="1" applyFont="1" applyFill="1" applyBorder="1" applyProtection="1"/>
    <xf numFmtId="44" fontId="2" fillId="4" borderId="0" xfId="0" applyNumberFormat="1" applyFont="1" applyFill="1"/>
    <xf numFmtId="43" fontId="2" fillId="4" borderId="0" xfId="2" applyFont="1" applyFill="1" applyBorder="1" applyAlignment="1" applyProtection="1">
      <alignment horizontal="center" vertical="center"/>
    </xf>
    <xf numFmtId="2" fontId="2" fillId="4" borderId="0" xfId="0" applyNumberFormat="1" applyFont="1" applyFill="1"/>
    <xf numFmtId="0" fontId="15" fillId="8" borderId="1" xfId="0" applyFont="1" applyFill="1" applyBorder="1" applyAlignment="1">
      <alignment horizontal="right" vertical="center"/>
    </xf>
    <xf numFmtId="0" fontId="15" fillId="8" borderId="1" xfId="0" applyFont="1" applyFill="1" applyBorder="1" applyAlignment="1">
      <alignment horizontal="right" vertical="center" wrapText="1"/>
    </xf>
    <xf numFmtId="0" fontId="0" fillId="8" borderId="0" xfId="0" applyFill="1" applyAlignment="1">
      <alignment vertical="center" wrapText="1"/>
    </xf>
    <xf numFmtId="0" fontId="2" fillId="4" borderId="0" xfId="0" applyFont="1" applyFill="1" applyAlignment="1">
      <alignment vertical="center"/>
    </xf>
    <xf numFmtId="0" fontId="0" fillId="4" borderId="0" xfId="0" applyFill="1" applyAlignment="1">
      <alignment vertical="center" wrapText="1"/>
    </xf>
    <xf numFmtId="0" fontId="0" fillId="0" borderId="0" xfId="0" applyAlignment="1">
      <alignment vertical="center" wrapText="1"/>
    </xf>
    <xf numFmtId="0" fontId="0" fillId="4" borderId="16" xfId="0" applyFill="1" applyBorder="1" applyAlignment="1">
      <alignment vertical="center" wrapText="1"/>
    </xf>
    <xf numFmtId="0" fontId="15" fillId="8" borderId="22" xfId="0" applyFont="1" applyFill="1" applyBorder="1" applyAlignment="1">
      <alignment horizontal="right" vertical="center" wrapText="1"/>
    </xf>
    <xf numFmtId="166" fontId="0" fillId="4" borderId="0" xfId="0" applyNumberFormat="1" applyFill="1" applyAlignment="1">
      <alignment vertical="center" wrapText="1"/>
    </xf>
    <xf numFmtId="0" fontId="0" fillId="4" borderId="0" xfId="0" applyFill="1" applyAlignment="1">
      <alignment horizontal="center" vertical="center" wrapText="1"/>
    </xf>
    <xf numFmtId="0" fontId="0" fillId="0" borderId="0" xfId="0" applyAlignment="1">
      <alignment horizontal="center" vertical="center" wrapText="1"/>
    </xf>
    <xf numFmtId="166" fontId="15" fillId="8" borderId="7" xfId="0" applyNumberFormat="1" applyFont="1" applyFill="1" applyBorder="1" applyAlignment="1">
      <alignment horizontal="center" vertical="center" wrapText="1"/>
    </xf>
    <xf numFmtId="0" fontId="2" fillId="4" borderId="16" xfId="0" applyFont="1" applyFill="1" applyBorder="1" applyAlignment="1">
      <alignment horizontal="center" vertical="center" wrapText="1"/>
    </xf>
    <xf numFmtId="0" fontId="2" fillId="0" borderId="0" xfId="0" applyFont="1" applyAlignment="1">
      <alignment horizontal="center" vertical="center" wrapText="1"/>
    </xf>
    <xf numFmtId="0" fontId="2" fillId="0" borderId="2" xfId="0" applyFont="1" applyBorder="1" applyAlignment="1">
      <alignment horizontal="center" vertical="center" wrapText="1"/>
    </xf>
    <xf numFmtId="44" fontId="0" fillId="4" borderId="16" xfId="0" applyNumberFormat="1" applyFill="1" applyBorder="1" applyAlignment="1">
      <alignment horizontal="left" vertical="center" wrapText="1"/>
    </xf>
    <xf numFmtId="44" fontId="0" fillId="0" borderId="0" xfId="0" applyNumberFormat="1" applyAlignment="1">
      <alignment horizontal="left" vertical="center" wrapText="1"/>
    </xf>
    <xf numFmtId="0" fontId="0" fillId="0" borderId="0" xfId="0" applyAlignment="1">
      <alignment horizontal="left" vertical="center" wrapText="1"/>
    </xf>
    <xf numFmtId="44" fontId="0" fillId="4" borderId="16" xfId="0" applyNumberFormat="1" applyFill="1" applyBorder="1" applyAlignment="1">
      <alignment wrapText="1"/>
    </xf>
    <xf numFmtId="44" fontId="0" fillId="0" borderId="0" xfId="0" applyNumberFormat="1" applyAlignment="1">
      <alignment wrapText="1"/>
    </xf>
    <xf numFmtId="0" fontId="0" fillId="0" borderId="0" xfId="0" applyAlignment="1">
      <alignment wrapText="1"/>
    </xf>
    <xf numFmtId="0" fontId="2" fillId="0" borderId="19" xfId="0" applyFont="1" applyBorder="1" applyAlignment="1">
      <alignment horizontal="left" wrapText="1"/>
    </xf>
    <xf numFmtId="2" fontId="2" fillId="0" borderId="7" xfId="0" applyNumberFormat="1" applyFont="1" applyBorder="1" applyAlignment="1">
      <alignment wrapText="1"/>
    </xf>
    <xf numFmtId="164" fontId="2" fillId="0" borderId="7" xfId="0" applyNumberFormat="1" applyFont="1" applyBorder="1" applyAlignment="1">
      <alignment wrapText="1"/>
    </xf>
    <xf numFmtId="44" fontId="2" fillId="4" borderId="16" xfId="0" applyNumberFormat="1" applyFont="1" applyFill="1" applyBorder="1" applyAlignment="1">
      <alignment wrapText="1"/>
    </xf>
    <xf numFmtId="44" fontId="2" fillId="0" borderId="0" xfId="0" applyNumberFormat="1" applyFont="1" applyAlignment="1">
      <alignment wrapText="1"/>
    </xf>
    <xf numFmtId="0" fontId="2" fillId="0" borderId="0" xfId="0" applyFont="1" applyAlignment="1">
      <alignment wrapText="1"/>
    </xf>
    <xf numFmtId="0" fontId="2" fillId="0" borderId="12" xfId="0" applyFont="1" applyBorder="1" applyAlignment="1">
      <alignment horizontal="center" vertical="center" wrapText="1"/>
    </xf>
    <xf numFmtId="164" fontId="2" fillId="0" borderId="12" xfId="0" applyNumberFormat="1" applyFont="1" applyBorder="1" applyAlignment="1">
      <alignment horizontal="center" vertical="center" wrapText="1"/>
    </xf>
    <xf numFmtId="0" fontId="0" fillId="4" borderId="15" xfId="0" applyFill="1" applyBorder="1" applyAlignment="1">
      <alignment horizontal="center" vertical="center" wrapText="1"/>
    </xf>
    <xf numFmtId="0" fontId="2" fillId="4" borderId="0" xfId="0" applyFont="1" applyFill="1" applyAlignment="1">
      <alignment horizontal="center" vertical="center" wrapText="1"/>
    </xf>
    <xf numFmtId="164" fontId="2" fillId="0" borderId="0" xfId="0" applyNumberFormat="1" applyFont="1" applyAlignment="1">
      <alignment horizontal="center" vertical="center" wrapText="1"/>
    </xf>
    <xf numFmtId="0" fontId="0" fillId="4" borderId="16" xfId="0" applyFill="1" applyBorder="1" applyAlignment="1">
      <alignment wrapText="1"/>
    </xf>
    <xf numFmtId="0" fontId="2" fillId="9" borderId="8" xfId="0" applyFont="1" applyFill="1" applyBorder="1" applyAlignment="1">
      <alignment horizontal="center" vertical="center" wrapText="1"/>
    </xf>
    <xf numFmtId="0" fontId="2" fillId="0" borderId="17" xfId="0" applyFont="1" applyBorder="1" applyAlignment="1">
      <alignment wrapText="1"/>
    </xf>
    <xf numFmtId="0" fontId="0" fillId="4" borderId="17" xfId="0" applyFill="1" applyBorder="1" applyAlignment="1">
      <alignment wrapText="1"/>
    </xf>
    <xf numFmtId="43" fontId="0" fillId="0" borderId="5" xfId="2" applyFont="1" applyBorder="1" applyAlignment="1" applyProtection="1">
      <alignment horizontal="right" vertical="center" wrapText="1"/>
      <protection hidden="1"/>
    </xf>
    <xf numFmtId="164" fontId="0" fillId="0" borderId="1" xfId="0" applyNumberFormat="1" applyBorder="1" applyAlignment="1" applyProtection="1">
      <alignment horizontal="left" vertical="center" wrapText="1"/>
      <protection hidden="1"/>
    </xf>
    <xf numFmtId="164" fontId="4" fillId="0" borderId="1" xfId="0" applyNumberFormat="1" applyFont="1" applyBorder="1" applyAlignment="1" applyProtection="1">
      <alignment horizontal="left" vertical="center" wrapText="1"/>
      <protection hidden="1"/>
    </xf>
    <xf numFmtId="164" fontId="0" fillId="0" borderId="1" xfId="0" applyNumberFormat="1" applyBorder="1" applyAlignment="1" applyProtection="1">
      <alignment wrapText="1"/>
      <protection hidden="1"/>
    </xf>
    <xf numFmtId="164" fontId="0" fillId="0" borderId="2" xfId="0" applyNumberFormat="1" applyBorder="1" applyAlignment="1" applyProtection="1">
      <alignment wrapText="1"/>
      <protection hidden="1"/>
    </xf>
    <xf numFmtId="167" fontId="2" fillId="0" borderId="12" xfId="1" applyNumberFormat="1" applyFont="1" applyFill="1" applyBorder="1" applyAlignment="1" applyProtection="1">
      <alignment horizontal="center" vertical="center" wrapText="1"/>
      <protection hidden="1"/>
    </xf>
    <xf numFmtId="164" fontId="12" fillId="0" borderId="0" xfId="0" applyNumberFormat="1" applyFont="1"/>
    <xf numFmtId="0" fontId="0" fillId="4" borderId="1" xfId="0" applyFill="1"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2" fillId="4" borderId="14" xfId="0" applyFont="1" applyFill="1" applyBorder="1" applyAlignment="1">
      <alignment horizontal="left" wrapText="1"/>
    </xf>
    <xf numFmtId="9" fontId="16" fillId="4" borderId="10" xfId="3" applyFont="1" applyFill="1" applyBorder="1" applyAlignment="1" applyProtection="1">
      <alignment horizontal="center" vertical="center" wrapText="1"/>
      <protection hidden="1"/>
    </xf>
    <xf numFmtId="0" fontId="0" fillId="4" borderId="17" xfId="0" applyFill="1" applyBorder="1" applyAlignment="1" applyProtection="1">
      <alignment wrapText="1"/>
      <protection locked="0"/>
    </xf>
    <xf numFmtId="164" fontId="0" fillId="4" borderId="17" xfId="1" applyNumberFormat="1" applyFont="1" applyFill="1" applyBorder="1" applyAlignment="1" applyProtection="1">
      <alignment wrapText="1"/>
      <protection locked="0"/>
    </xf>
    <xf numFmtId="0" fontId="0" fillId="4" borderId="18" xfId="0" applyFill="1" applyBorder="1" applyAlignment="1" applyProtection="1">
      <alignment wrapText="1"/>
      <protection locked="0"/>
    </xf>
    <xf numFmtId="0" fontId="2" fillId="4" borderId="23" xfId="0" applyFont="1" applyFill="1" applyBorder="1" applyAlignment="1" applyProtection="1">
      <alignment horizontal="left"/>
      <protection hidden="1"/>
    </xf>
    <xf numFmtId="0" fontId="0" fillId="4" borderId="0" xfId="0" applyFill="1" applyAlignment="1" applyProtection="1">
      <alignment horizontal="center" vertical="center" wrapText="1"/>
      <protection hidden="1"/>
    </xf>
    <xf numFmtId="164" fontId="2" fillId="4" borderId="0" xfId="1" applyNumberFormat="1" applyFont="1" applyFill="1" applyBorder="1" applyAlignment="1" applyProtection="1">
      <alignment horizontal="center" vertical="center" wrapText="1"/>
      <protection hidden="1"/>
    </xf>
    <xf numFmtId="0" fontId="2" fillId="4" borderId="0" xfId="0" applyFont="1" applyFill="1" applyAlignment="1" applyProtection="1">
      <alignment horizontal="center" vertical="center" wrapText="1"/>
      <protection hidden="1"/>
    </xf>
    <xf numFmtId="0" fontId="0" fillId="4" borderId="0" xfId="0" applyFill="1" applyAlignment="1" applyProtection="1">
      <alignment wrapText="1"/>
      <protection hidden="1"/>
    </xf>
    <xf numFmtId="0" fontId="0" fillId="0" borderId="0" xfId="0" applyAlignment="1" applyProtection="1">
      <alignment wrapText="1"/>
      <protection hidden="1"/>
    </xf>
    <xf numFmtId="164" fontId="2" fillId="4" borderId="0" xfId="0" applyNumberFormat="1" applyFont="1" applyFill="1" applyAlignment="1" applyProtection="1">
      <alignment wrapText="1"/>
      <protection hidden="1"/>
    </xf>
    <xf numFmtId="9" fontId="0" fillId="4" borderId="0" xfId="3" applyFont="1" applyFill="1" applyBorder="1" applyAlignment="1" applyProtection="1">
      <alignment wrapText="1"/>
      <protection hidden="1"/>
    </xf>
    <xf numFmtId="0" fontId="14" fillId="9" borderId="26" xfId="0" applyFont="1" applyFill="1" applyBorder="1" applyAlignment="1" applyProtection="1">
      <alignment horizontal="center" vertical="center" wrapText="1"/>
      <protection hidden="1"/>
    </xf>
    <xf numFmtId="0" fontId="0" fillId="4" borderId="0" xfId="0" applyFill="1" applyProtection="1">
      <protection hidden="1"/>
    </xf>
    <xf numFmtId="0" fontId="0" fillId="9" borderId="6" xfId="0" applyFill="1" applyBorder="1" applyAlignment="1" applyProtection="1">
      <alignment wrapText="1"/>
      <protection hidden="1"/>
    </xf>
    <xf numFmtId="164" fontId="14" fillId="9" borderId="8" xfId="1" applyNumberFormat="1" applyFont="1" applyFill="1" applyBorder="1" applyAlignment="1" applyProtection="1">
      <alignment horizontal="center" vertical="center" wrapText="1"/>
      <protection hidden="1"/>
    </xf>
    <xf numFmtId="164" fontId="2" fillId="9" borderId="29" xfId="1" applyNumberFormat="1" applyFont="1" applyFill="1" applyBorder="1" applyAlignment="1" applyProtection="1">
      <alignment horizontal="center" vertical="center" wrapText="1"/>
      <protection hidden="1"/>
    </xf>
    <xf numFmtId="164" fontId="2" fillId="9" borderId="7" xfId="1" applyNumberFormat="1" applyFont="1" applyFill="1" applyBorder="1" applyAlignment="1" applyProtection="1">
      <alignment horizontal="center" vertical="center" wrapText="1"/>
      <protection hidden="1"/>
    </xf>
    <xf numFmtId="164" fontId="2" fillId="9" borderId="30" xfId="1" applyNumberFormat="1" applyFont="1" applyFill="1" applyBorder="1" applyAlignment="1" applyProtection="1">
      <alignment horizontal="center" vertical="center" wrapText="1"/>
      <protection hidden="1"/>
    </xf>
    <xf numFmtId="164" fontId="2" fillId="9" borderId="24" xfId="1" applyNumberFormat="1" applyFont="1" applyFill="1" applyBorder="1" applyAlignment="1" applyProtection="1">
      <alignment horizontal="center" vertical="center" wrapText="1"/>
      <protection hidden="1"/>
    </xf>
    <xf numFmtId="0" fontId="2" fillId="9" borderId="7" xfId="0" applyFont="1" applyFill="1" applyBorder="1" applyAlignment="1" applyProtection="1">
      <alignment horizontal="center" vertical="center" wrapText="1"/>
      <protection hidden="1"/>
    </xf>
    <xf numFmtId="0" fontId="12" fillId="4" borderId="27" xfId="0" applyFont="1" applyFill="1" applyBorder="1" applyAlignment="1" applyProtection="1">
      <alignment horizontal="center" vertical="center" wrapText="1"/>
      <protection hidden="1"/>
    </xf>
    <xf numFmtId="0" fontId="2" fillId="0" borderId="9" xfId="0" applyFont="1" applyBorder="1" applyAlignment="1" applyProtection="1">
      <alignment horizontal="center" vertical="center" wrapText="1"/>
      <protection hidden="1"/>
    </xf>
    <xf numFmtId="9" fontId="17" fillId="0" borderId="10" xfId="3" applyFont="1" applyFill="1" applyBorder="1" applyAlignment="1" applyProtection="1">
      <alignment horizontal="center" vertical="center" wrapText="1"/>
      <protection hidden="1"/>
    </xf>
    <xf numFmtId="0" fontId="2" fillId="4" borderId="9" xfId="0" applyFont="1" applyFill="1" applyBorder="1" applyAlignment="1" applyProtection="1">
      <alignment horizontal="center" vertical="center" wrapText="1"/>
      <protection hidden="1"/>
    </xf>
    <xf numFmtId="0" fontId="16" fillId="4" borderId="1" xfId="0" applyFont="1" applyFill="1" applyBorder="1" applyAlignment="1" applyProtection="1">
      <alignment horizontal="center" vertical="center" wrapText="1"/>
      <protection hidden="1"/>
    </xf>
    <xf numFmtId="0" fontId="11" fillId="4" borderId="25" xfId="0" applyFont="1" applyFill="1" applyBorder="1" applyAlignment="1" applyProtection="1">
      <alignment horizontal="center" vertical="center" wrapText="1"/>
      <protection hidden="1"/>
    </xf>
    <xf numFmtId="0" fontId="0" fillId="0" borderId="27" xfId="0" applyBorder="1" applyAlignment="1" applyProtection="1">
      <alignment horizontal="center" vertical="center" wrapText="1"/>
      <protection hidden="1"/>
    </xf>
    <xf numFmtId="0" fontId="2" fillId="0" borderId="11" xfId="0" applyFont="1" applyBorder="1" applyAlignment="1" applyProtection="1">
      <alignment horizontal="center" vertical="center" wrapText="1"/>
      <protection hidden="1"/>
    </xf>
    <xf numFmtId="9" fontId="17" fillId="0" borderId="13" xfId="3" applyFont="1" applyFill="1" applyBorder="1" applyAlignment="1" applyProtection="1">
      <alignment horizontal="center" vertical="center" wrapText="1"/>
      <protection hidden="1"/>
    </xf>
    <xf numFmtId="0" fontId="16" fillId="4" borderId="1" xfId="0" applyFont="1" applyFill="1" applyBorder="1" applyAlignment="1" applyProtection="1">
      <alignment horizontal="center" vertical="center"/>
      <protection hidden="1"/>
    </xf>
    <xf numFmtId="0" fontId="11" fillId="4" borderId="0" xfId="0" applyFont="1" applyFill="1" applyAlignment="1" applyProtection="1">
      <alignment horizontal="center" vertical="center" wrapText="1"/>
      <protection hidden="1"/>
    </xf>
    <xf numFmtId="9" fontId="2" fillId="4" borderId="0" xfId="0" applyNumberFormat="1" applyFont="1" applyFill="1" applyAlignment="1" applyProtection="1">
      <alignment horizontal="center" wrapText="1"/>
      <protection hidden="1"/>
    </xf>
    <xf numFmtId="9" fontId="2" fillId="4" borderId="9" xfId="3" applyFont="1" applyFill="1" applyBorder="1" applyAlignment="1" applyProtection="1">
      <alignment horizontal="center" vertical="center" wrapText="1"/>
      <protection hidden="1"/>
    </xf>
    <xf numFmtId="9" fontId="16" fillId="4" borderId="1" xfId="0" applyNumberFormat="1" applyFont="1" applyFill="1" applyBorder="1" applyAlignment="1" applyProtection="1">
      <alignment horizontal="center" vertical="center" wrapText="1"/>
      <protection hidden="1"/>
    </xf>
    <xf numFmtId="9" fontId="16" fillId="4" borderId="10" xfId="0" applyNumberFormat="1" applyFont="1" applyFill="1" applyBorder="1" applyAlignment="1" applyProtection="1">
      <alignment horizontal="center" vertical="center" wrapText="1"/>
      <protection hidden="1"/>
    </xf>
    <xf numFmtId="9" fontId="2" fillId="4" borderId="0" xfId="3" applyFont="1" applyFill="1" applyBorder="1" applyAlignment="1" applyProtection="1">
      <alignment horizontal="center" vertical="center" wrapText="1"/>
      <protection hidden="1"/>
    </xf>
    <xf numFmtId="0" fontId="11" fillId="4" borderId="0" xfId="0" applyFont="1" applyFill="1" applyAlignment="1" applyProtection="1">
      <alignment vertical="center" wrapText="1"/>
      <protection hidden="1"/>
    </xf>
    <xf numFmtId="0" fontId="0" fillId="0" borderId="28" xfId="0" applyBorder="1" applyAlignment="1" applyProtection="1">
      <alignment horizontal="center" vertical="center" wrapText="1"/>
      <protection hidden="1"/>
    </xf>
    <xf numFmtId="0" fontId="2" fillId="4" borderId="11" xfId="0" applyFont="1" applyFill="1" applyBorder="1" applyAlignment="1" applyProtection="1">
      <alignment horizontal="center" vertical="center" wrapText="1"/>
      <protection hidden="1"/>
    </xf>
    <xf numFmtId="0" fontId="16" fillId="4" borderId="12" xfId="0" applyFont="1" applyFill="1" applyBorder="1" applyAlignment="1" applyProtection="1">
      <alignment horizontal="center" vertical="center" wrapText="1"/>
      <protection hidden="1"/>
    </xf>
    <xf numFmtId="9" fontId="16" fillId="4" borderId="12" xfId="0" applyNumberFormat="1" applyFont="1" applyFill="1" applyBorder="1" applyAlignment="1" applyProtection="1">
      <alignment horizontal="center" vertical="center" wrapText="1"/>
      <protection hidden="1"/>
    </xf>
    <xf numFmtId="9" fontId="16" fillId="4" borderId="13" xfId="0" applyNumberFormat="1" applyFont="1" applyFill="1" applyBorder="1" applyAlignment="1" applyProtection="1">
      <alignment horizontal="center" vertical="center" wrapText="1"/>
      <protection hidden="1"/>
    </xf>
    <xf numFmtId="44" fontId="0" fillId="0" borderId="1" xfId="0" applyNumberFormat="1" applyBorder="1" applyAlignment="1" applyProtection="1">
      <alignment horizontal="left" vertical="center" wrapText="1"/>
      <protection hidden="1"/>
    </xf>
    <xf numFmtId="0" fontId="18" fillId="0" borderId="0" xfId="4"/>
    <xf numFmtId="0" fontId="2" fillId="0" borderId="0" xfId="0" applyFont="1" applyAlignment="1">
      <alignment horizontal="center" vertical="center"/>
    </xf>
    <xf numFmtId="0" fontId="2" fillId="0" borderId="0" xfId="0" applyFont="1" applyAlignment="1">
      <alignment horizontal="left" vertical="center"/>
    </xf>
    <xf numFmtId="0" fontId="7" fillId="5" borderId="0" xfId="0" applyFont="1" applyFill="1" applyAlignment="1">
      <alignment horizontal="center" vertical="center" wrapText="1"/>
    </xf>
    <xf numFmtId="49" fontId="0" fillId="0" borderId="0" xfId="0" applyNumberFormat="1"/>
    <xf numFmtId="0" fontId="11" fillId="0" borderId="0" xfId="0" applyFont="1"/>
    <xf numFmtId="0" fontId="2" fillId="2" borderId="0" xfId="0" applyFont="1" applyFill="1" applyAlignment="1">
      <alignment horizontal="center" vertical="center" wrapText="1"/>
    </xf>
    <xf numFmtId="0" fontId="20" fillId="10" borderId="6" xfId="0" applyFont="1" applyFill="1" applyBorder="1" applyAlignment="1">
      <alignment horizontal="center" vertical="center" wrapText="1"/>
    </xf>
    <xf numFmtId="0" fontId="20" fillId="10" borderId="7" xfId="0" applyFont="1" applyFill="1" applyBorder="1" applyAlignment="1">
      <alignment horizontal="center" vertical="center" wrapText="1"/>
    </xf>
    <xf numFmtId="0" fontId="20" fillId="10" borderId="8" xfId="0" applyFont="1" applyFill="1" applyBorder="1" applyAlignment="1">
      <alignment horizontal="center" vertical="center" wrapText="1"/>
    </xf>
    <xf numFmtId="0" fontId="21" fillId="0" borderId="9" xfId="0" applyFont="1" applyBorder="1" applyAlignment="1">
      <alignment vertical="center"/>
    </xf>
    <xf numFmtId="1" fontId="21" fillId="0" borderId="1" xfId="0" applyNumberFormat="1" applyFont="1" applyBorder="1" applyAlignment="1">
      <alignment horizontal="center" vertical="center"/>
    </xf>
    <xf numFmtId="0" fontId="21" fillId="0" borderId="1" xfId="0" applyFont="1" applyBorder="1" applyAlignment="1">
      <alignment horizontal="center" vertical="center"/>
    </xf>
    <xf numFmtId="43" fontId="21" fillId="0" borderId="1" xfId="2" applyFont="1" applyBorder="1" applyAlignment="1" applyProtection="1">
      <alignment vertical="center"/>
    </xf>
    <xf numFmtId="44" fontId="21" fillId="0" borderId="1" xfId="1" applyFont="1" applyBorder="1" applyAlignment="1" applyProtection="1">
      <alignment vertical="center"/>
    </xf>
    <xf numFmtId="44" fontId="21" fillId="0" borderId="10" xfId="1" applyFont="1" applyBorder="1" applyAlignment="1" applyProtection="1">
      <alignment vertical="center"/>
    </xf>
    <xf numFmtId="0" fontId="21" fillId="0" borderId="12" xfId="0" applyFont="1" applyBorder="1" applyAlignment="1">
      <alignment horizontal="center" vertical="center"/>
    </xf>
    <xf numFmtId="0" fontId="11" fillId="0" borderId="1" xfId="0" applyFont="1" applyBorder="1" applyAlignment="1">
      <alignment horizontal="center" vertical="center" wrapText="1"/>
    </xf>
    <xf numFmtId="169" fontId="2" fillId="0" borderId="1" xfId="0" applyNumberFormat="1" applyFont="1" applyBorder="1" applyAlignment="1">
      <alignment horizontal="center" vertical="center"/>
    </xf>
    <xf numFmtId="0" fontId="2" fillId="0" borderId="1" xfId="0" applyFont="1" applyBorder="1" applyAlignment="1">
      <alignment horizontal="center" vertical="center"/>
    </xf>
    <xf numFmtId="0" fontId="22" fillId="0" borderId="0" xfId="0" applyFont="1"/>
    <xf numFmtId="10" fontId="5" fillId="0" borderId="1" xfId="3" applyNumberFormat="1" applyFont="1" applyFill="1" applyBorder="1" applyAlignment="1" applyProtection="1">
      <alignment horizontal="center" vertical="center" wrapText="1"/>
      <protection locked="0"/>
    </xf>
    <xf numFmtId="0" fontId="15" fillId="8" borderId="1" xfId="0" applyFont="1" applyFill="1" applyBorder="1" applyAlignment="1" applyProtection="1">
      <alignment horizontal="center" vertical="center" wrapText="1"/>
      <protection hidden="1"/>
    </xf>
    <xf numFmtId="0" fontId="12" fillId="3" borderId="0" xfId="0" applyFont="1" applyFill="1" applyAlignment="1">
      <alignment horizontal="center" vertical="center"/>
    </xf>
    <xf numFmtId="0" fontId="12" fillId="11" borderId="0" xfId="0" applyFont="1" applyFill="1" applyAlignment="1">
      <alignment horizontal="center"/>
    </xf>
    <xf numFmtId="0" fontId="12" fillId="3" borderId="0" xfId="0" applyFont="1" applyFill="1" applyAlignment="1">
      <alignment horizontal="center"/>
    </xf>
    <xf numFmtId="0" fontId="12" fillId="3" borderId="0" xfId="0" applyFont="1" applyFill="1" applyAlignment="1">
      <alignment horizontal="left"/>
    </xf>
    <xf numFmtId="44" fontId="2" fillId="0" borderId="7" xfId="0" applyNumberFormat="1" applyFont="1" applyBorder="1" applyAlignment="1">
      <alignment horizontal="left" wrapText="1"/>
    </xf>
    <xf numFmtId="0" fontId="2" fillId="11" borderId="1" xfId="0" applyFont="1" applyFill="1" applyBorder="1" applyAlignment="1" applyProtection="1">
      <alignment horizontal="center" vertical="center" wrapText="1"/>
      <protection locked="0"/>
    </xf>
    <xf numFmtId="0" fontId="0" fillId="0" borderId="0" xfId="0" applyProtection="1">
      <protection locked="0"/>
    </xf>
    <xf numFmtId="0" fontId="0" fillId="0" borderId="0" xfId="0" applyAlignment="1" applyProtection="1">
      <alignment vertical="center"/>
      <protection locked="0"/>
    </xf>
    <xf numFmtId="0" fontId="11" fillId="0" borderId="0" xfId="0" applyFont="1" applyAlignment="1">
      <alignment horizontal="center" vertical="center"/>
    </xf>
    <xf numFmtId="0" fontId="11" fillId="0" borderId="0" xfId="0" applyFont="1" applyAlignment="1">
      <alignment vertical="center"/>
    </xf>
    <xf numFmtId="0" fontId="25" fillId="12" borderId="1" xfId="0" applyFont="1" applyFill="1" applyBorder="1" applyAlignment="1" applyProtection="1">
      <alignment horizontal="center" vertical="center" wrapText="1"/>
      <protection locked="0"/>
    </xf>
    <xf numFmtId="0" fontId="25" fillId="0" borderId="1" xfId="0" applyFont="1" applyBorder="1" applyAlignment="1" applyProtection="1">
      <alignment horizontal="center" vertical="center" wrapText="1"/>
      <protection locked="0"/>
    </xf>
    <xf numFmtId="0" fontId="25" fillId="0" borderId="34" xfId="0" applyFont="1" applyBorder="1" applyAlignment="1" applyProtection="1">
      <alignment horizontal="center" vertical="center" wrapText="1"/>
      <protection locked="0"/>
    </xf>
    <xf numFmtId="0" fontId="25" fillId="0" borderId="5" xfId="0" applyFont="1" applyBorder="1" applyAlignment="1" applyProtection="1">
      <alignment horizontal="center" vertical="center" wrapText="1"/>
      <protection locked="0"/>
    </xf>
    <xf numFmtId="0" fontId="27" fillId="0" borderId="1" xfId="0" applyFont="1" applyBorder="1" applyAlignment="1" applyProtection="1">
      <alignment vertical="center" wrapText="1"/>
      <protection locked="0"/>
    </xf>
    <xf numFmtId="0" fontId="28" fillId="0" borderId="1" xfId="0" applyFont="1" applyBorder="1" applyAlignment="1" applyProtection="1">
      <alignment horizontal="center" vertical="center" wrapText="1"/>
      <protection locked="0"/>
    </xf>
    <xf numFmtId="0" fontId="0" fillId="0" borderId="0" xfId="0" applyAlignment="1" applyProtection="1">
      <alignment horizontal="center"/>
      <protection locked="0"/>
    </xf>
    <xf numFmtId="9" fontId="0" fillId="0" borderId="0" xfId="3" applyFont="1" applyAlignment="1" applyProtection="1">
      <protection locked="0"/>
    </xf>
    <xf numFmtId="0" fontId="0" fillId="0" borderId="0" xfId="3" applyNumberFormat="1" applyFont="1" applyAlignment="1" applyProtection="1">
      <protection locked="0"/>
    </xf>
    <xf numFmtId="0" fontId="2" fillId="0" borderId="0" xfId="0" applyFont="1" applyAlignment="1" applyProtection="1">
      <alignment horizontal="left" vertical="center" wrapText="1"/>
      <protection locked="0"/>
    </xf>
    <xf numFmtId="9" fontId="0" fillId="0" borderId="0" xfId="3" applyFont="1" applyProtection="1">
      <protection locked="0"/>
    </xf>
    <xf numFmtId="0" fontId="0" fillId="0" borderId="0" xfId="0" applyAlignment="1" applyProtection="1">
      <alignment horizontal="left" vertical="center"/>
      <protection locked="0"/>
    </xf>
    <xf numFmtId="0" fontId="0" fillId="0" borderId="0" xfId="0" applyAlignment="1" applyProtection="1">
      <alignment horizontal="left"/>
      <protection locked="0"/>
    </xf>
    <xf numFmtId="43" fontId="0" fillId="0" borderId="0" xfId="2" applyFont="1" applyProtection="1">
      <protection locked="0"/>
    </xf>
    <xf numFmtId="165" fontId="0" fillId="0" borderId="0" xfId="2" applyNumberFormat="1" applyFont="1" applyProtection="1">
      <protection locked="0"/>
    </xf>
    <xf numFmtId="165" fontId="0" fillId="0" borderId="0" xfId="2" applyNumberFormat="1" applyFont="1" applyAlignment="1" applyProtection="1">
      <alignment horizontal="center" vertical="center" wrapText="1"/>
      <protection locked="0"/>
    </xf>
    <xf numFmtId="9" fontId="0" fillId="0" borderId="0" xfId="0" applyNumberFormat="1" applyProtection="1">
      <protection locked="0"/>
    </xf>
    <xf numFmtId="169" fontId="26" fillId="0" borderId="1" xfId="0" applyNumberFormat="1" applyFont="1" applyBorder="1" applyAlignment="1" applyProtection="1">
      <alignment horizontal="center" vertical="center"/>
      <protection locked="0"/>
    </xf>
    <xf numFmtId="0" fontId="25" fillId="0" borderId="0" xfId="0" applyFont="1" applyAlignment="1" applyProtection="1">
      <alignment horizontal="center" vertical="center" wrapText="1"/>
      <protection locked="0"/>
    </xf>
    <xf numFmtId="0" fontId="11" fillId="0" borderId="0" xfId="0" applyFont="1" applyAlignment="1">
      <alignment horizontal="center" wrapText="1"/>
    </xf>
    <xf numFmtId="0" fontId="2" fillId="0" borderId="0" xfId="0" applyFont="1" applyAlignment="1">
      <alignment vertical="center" wrapText="1"/>
    </xf>
    <xf numFmtId="0" fontId="2" fillId="0" borderId="0" xfId="0" applyFont="1" applyAlignment="1">
      <alignment vertical="center"/>
    </xf>
    <xf numFmtId="0" fontId="23" fillId="0" borderId="0" xfId="0" applyFont="1" applyAlignment="1">
      <alignment horizontal="center" vertical="center" wrapText="1"/>
    </xf>
    <xf numFmtId="9" fontId="8" fillId="4" borderId="0" xfId="3" applyFont="1" applyFill="1" applyBorder="1" applyAlignment="1" applyProtection="1">
      <alignment horizontal="center" vertical="center" wrapText="1"/>
      <protection hidden="1"/>
    </xf>
    <xf numFmtId="164" fontId="2" fillId="4" borderId="22" xfId="1" applyNumberFormat="1" applyFont="1" applyFill="1" applyBorder="1" applyAlignment="1" applyProtection="1">
      <alignment horizontal="center" vertical="center" wrapText="1"/>
    </xf>
    <xf numFmtId="2" fontId="2" fillId="4" borderId="22" xfId="0" applyNumberFormat="1" applyFont="1" applyFill="1" applyBorder="1" applyAlignment="1">
      <alignment horizontal="center" vertical="center" wrapText="1"/>
    </xf>
    <xf numFmtId="43" fontId="2" fillId="4" borderId="22" xfId="2" applyFont="1" applyFill="1" applyBorder="1" applyAlignment="1" applyProtection="1">
      <alignment horizontal="center" vertical="center" wrapText="1"/>
    </xf>
    <xf numFmtId="44" fontId="5" fillId="0" borderId="7" xfId="1" applyFont="1" applyFill="1" applyBorder="1" applyAlignment="1" applyProtection="1">
      <alignment horizontal="center" vertical="center" wrapText="1"/>
    </xf>
    <xf numFmtId="44" fontId="2" fillId="4" borderId="16" xfId="0" applyNumberFormat="1" applyFont="1" applyFill="1" applyBorder="1" applyAlignment="1">
      <alignment horizontal="center" vertical="center" wrapText="1"/>
    </xf>
    <xf numFmtId="44" fontId="2" fillId="0" borderId="0" xfId="0" applyNumberFormat="1" applyFont="1" applyAlignment="1">
      <alignment horizontal="center" vertical="center" wrapText="1"/>
    </xf>
    <xf numFmtId="44" fontId="2" fillId="0" borderId="4" xfId="0" applyNumberFormat="1" applyFont="1" applyBorder="1" applyAlignment="1" applyProtection="1">
      <alignment horizontal="center" vertical="center" wrapText="1"/>
      <protection hidden="1"/>
    </xf>
    <xf numFmtId="164" fontId="2" fillId="0" borderId="3" xfId="0" applyNumberFormat="1" applyFont="1" applyBorder="1" applyAlignment="1" applyProtection="1">
      <alignment horizontal="center" vertical="center" wrapText="1"/>
      <protection hidden="1"/>
    </xf>
    <xf numFmtId="9" fontId="2" fillId="0" borderId="3" xfId="3" applyFont="1" applyBorder="1" applyAlignment="1" applyProtection="1">
      <alignment horizontal="center" vertical="center" wrapText="1"/>
      <protection hidden="1"/>
    </xf>
    <xf numFmtId="0" fontId="2" fillId="4" borderId="39" xfId="0" applyFont="1" applyFill="1" applyBorder="1" applyAlignment="1">
      <alignment horizontal="center" vertical="center" wrapText="1"/>
    </xf>
    <xf numFmtId="0" fontId="0" fillId="4" borderId="32" xfId="0" applyFill="1" applyBorder="1" applyAlignment="1" applyProtection="1">
      <alignment horizontal="center" vertical="center" wrapText="1"/>
      <protection locked="0"/>
    </xf>
    <xf numFmtId="43" fontId="2" fillId="4" borderId="38" xfId="2" applyFont="1" applyFill="1" applyBorder="1" applyAlignment="1" applyProtection="1">
      <alignment horizontal="center" vertical="center" wrapText="1"/>
    </xf>
    <xf numFmtId="44" fontId="2" fillId="4" borderId="1" xfId="1" applyFont="1" applyFill="1" applyBorder="1" applyAlignment="1" applyProtection="1">
      <alignment horizontal="left" vertical="center" wrapText="1"/>
    </xf>
    <xf numFmtId="43" fontId="2" fillId="4" borderId="1" xfId="2" applyFont="1" applyFill="1" applyBorder="1" applyAlignment="1" applyProtection="1">
      <alignment horizontal="center" vertical="center" wrapText="1"/>
    </xf>
    <xf numFmtId="44" fontId="19" fillId="4" borderId="32" xfId="0" applyNumberFormat="1" applyFont="1" applyFill="1" applyBorder="1" applyAlignment="1">
      <alignment horizontal="center" vertical="center" wrapText="1"/>
    </xf>
    <xf numFmtId="0" fontId="2" fillId="4" borderId="14" xfId="0" applyFont="1" applyFill="1" applyBorder="1"/>
    <xf numFmtId="2" fontId="0" fillId="0" borderId="4" xfId="0" applyNumberFormat="1" applyBorder="1" applyAlignment="1" applyProtection="1">
      <alignment horizontal="right" vertical="center" wrapText="1"/>
      <protection locked="0"/>
    </xf>
    <xf numFmtId="170" fontId="0" fillId="0" borderId="1" xfId="1" applyNumberFormat="1" applyFont="1" applyFill="1" applyBorder="1" applyAlignment="1" applyProtection="1">
      <alignment horizontal="center" vertical="center" wrapText="1"/>
      <protection hidden="1"/>
    </xf>
    <xf numFmtId="170" fontId="2" fillId="0" borderId="12" xfId="1" applyNumberFormat="1" applyFont="1" applyFill="1" applyBorder="1" applyAlignment="1" applyProtection="1">
      <alignment horizontal="center" vertical="center" wrapText="1"/>
      <protection hidden="1"/>
    </xf>
    <xf numFmtId="0" fontId="2" fillId="4" borderId="2" xfId="0" applyFont="1" applyFill="1" applyBorder="1" applyAlignment="1" applyProtection="1">
      <alignment horizontal="center" vertical="center" wrapText="1"/>
      <protection locked="0"/>
    </xf>
    <xf numFmtId="44" fontId="0" fillId="4" borderId="1" xfId="1" applyFont="1" applyFill="1" applyBorder="1" applyProtection="1">
      <protection locked="0"/>
    </xf>
    <xf numFmtId="0" fontId="12" fillId="13" borderId="0" xfId="0" applyFont="1" applyFill="1"/>
    <xf numFmtId="164" fontId="12" fillId="13" borderId="0" xfId="1" applyNumberFormat="1" applyFont="1" applyFill="1" applyBorder="1"/>
    <xf numFmtId="44" fontId="0" fillId="4" borderId="0" xfId="1" applyFont="1" applyFill="1" applyBorder="1" applyProtection="1">
      <protection locked="0"/>
    </xf>
    <xf numFmtId="0" fontId="0" fillId="0" borderId="1" xfId="0" applyBorder="1" applyAlignment="1" applyProtection="1">
      <alignment horizontal="center" vertical="center" wrapText="1"/>
      <protection locked="0"/>
    </xf>
    <xf numFmtId="0" fontId="0" fillId="4" borderId="1" xfId="0" applyFill="1" applyBorder="1" applyAlignment="1" applyProtection="1">
      <alignment horizontal="center" vertical="center" wrapText="1"/>
      <protection locked="0"/>
    </xf>
    <xf numFmtId="44" fontId="0" fillId="0" borderId="1" xfId="1" applyFont="1" applyFill="1" applyBorder="1" applyAlignment="1" applyProtection="1">
      <alignment horizontal="center" vertical="center" wrapText="1"/>
      <protection hidden="1"/>
    </xf>
    <xf numFmtId="44" fontId="0" fillId="0" borderId="1" xfId="0" applyNumberFormat="1" applyBorder="1" applyAlignment="1" applyProtection="1">
      <alignment horizontal="center" vertical="center" wrapText="1"/>
      <protection hidden="1"/>
    </xf>
    <xf numFmtId="44" fontId="0" fillId="0" borderId="2" xfId="0" applyNumberFormat="1" applyBorder="1" applyAlignment="1" applyProtection="1">
      <alignment horizontal="center" vertical="center" wrapText="1"/>
      <protection hidden="1"/>
    </xf>
    <xf numFmtId="44" fontId="2" fillId="0" borderId="7" xfId="0" applyNumberFormat="1" applyFont="1" applyBorder="1" applyAlignment="1" applyProtection="1">
      <alignment horizontal="center" vertical="center" wrapText="1"/>
      <protection hidden="1"/>
    </xf>
    <xf numFmtId="164" fontId="2" fillId="0" borderId="7" xfId="0" applyNumberFormat="1" applyFont="1" applyBorder="1" applyAlignment="1" applyProtection="1">
      <alignment horizontal="center" vertical="center" wrapText="1"/>
      <protection hidden="1"/>
    </xf>
    <xf numFmtId="0" fontId="12" fillId="11" borderId="0" xfId="0" applyFont="1" applyFill="1" applyAlignment="1">
      <alignment horizontal="left"/>
    </xf>
    <xf numFmtId="0" fontId="0" fillId="3" borderId="0" xfId="0" applyFill="1" applyAlignment="1">
      <alignment horizontal="center" vertical="center"/>
    </xf>
    <xf numFmtId="44" fontId="0" fillId="0" borderId="34" xfId="0" applyNumberFormat="1" applyBorder="1" applyAlignment="1" applyProtection="1">
      <alignment horizontal="left" vertical="center" wrapText="1"/>
      <protection hidden="1"/>
    </xf>
    <xf numFmtId="0" fontId="0" fillId="0" borderId="4" xfId="0" applyBorder="1" applyAlignment="1" applyProtection="1">
      <alignment horizontal="center" vertical="center" wrapText="1"/>
      <protection hidden="1"/>
    </xf>
    <xf numFmtId="164" fontId="0" fillId="0" borderId="4" xfId="1" applyNumberFormat="1" applyFont="1" applyFill="1" applyBorder="1" applyAlignment="1" applyProtection="1">
      <alignment horizontal="left" vertical="center"/>
      <protection hidden="1"/>
    </xf>
    <xf numFmtId="0" fontId="2" fillId="0" borderId="12" xfId="0" applyFont="1" applyBorder="1" applyAlignment="1" applyProtection="1">
      <alignment horizontal="center" vertical="center" wrapText="1"/>
      <protection locked="0"/>
    </xf>
    <xf numFmtId="0" fontId="2" fillId="4" borderId="12" xfId="0" applyFont="1" applyFill="1" applyBorder="1" applyAlignment="1" applyProtection="1">
      <alignment horizontal="center" vertical="center" wrapText="1"/>
      <protection locked="0"/>
    </xf>
    <xf numFmtId="43" fontId="0" fillId="0" borderId="18" xfId="2" applyFont="1" applyBorder="1" applyAlignment="1" applyProtection="1">
      <alignment horizontal="right" vertical="center" wrapText="1"/>
      <protection hidden="1"/>
    </xf>
    <xf numFmtId="164" fontId="0" fillId="0" borderId="4" xfId="0" applyNumberFormat="1" applyBorder="1" applyAlignment="1" applyProtection="1">
      <alignment horizontal="left" vertical="center" wrapText="1"/>
      <protection hidden="1"/>
    </xf>
    <xf numFmtId="164" fontId="4" fillId="0" borderId="4" xfId="0" applyNumberFormat="1" applyFont="1" applyBorder="1" applyAlignment="1" applyProtection="1">
      <alignment horizontal="left" vertical="center" wrapText="1"/>
      <protection hidden="1"/>
    </xf>
    <xf numFmtId="44" fontId="0" fillId="0" borderId="4" xfId="0" applyNumberFormat="1" applyBorder="1" applyAlignment="1" applyProtection="1">
      <alignment horizontal="left" vertical="center" wrapText="1"/>
      <protection hidden="1"/>
    </xf>
    <xf numFmtId="44" fontId="0" fillId="0" borderId="38" xfId="0" applyNumberFormat="1" applyBorder="1" applyAlignment="1" applyProtection="1">
      <alignment horizontal="left" vertical="center" wrapText="1"/>
      <protection hidden="1"/>
    </xf>
    <xf numFmtId="43" fontId="2" fillId="4" borderId="0" xfId="2" applyFont="1" applyFill="1" applyBorder="1" applyAlignment="1" applyProtection="1">
      <alignment vertical="center" wrapText="1"/>
    </xf>
    <xf numFmtId="43" fontId="2" fillId="4" borderId="47" xfId="2" applyFont="1" applyFill="1" applyBorder="1" applyAlignment="1" applyProtection="1">
      <alignment vertical="center" wrapText="1"/>
    </xf>
    <xf numFmtId="0" fontId="2" fillId="4" borderId="15" xfId="0" applyFont="1" applyFill="1" applyBorder="1" applyAlignment="1">
      <alignment vertical="center" wrapText="1"/>
    </xf>
    <xf numFmtId="0" fontId="2" fillId="4" borderId="44" xfId="0" applyFont="1" applyFill="1" applyBorder="1" applyAlignment="1">
      <alignment vertical="center" wrapText="1"/>
    </xf>
    <xf numFmtId="0" fontId="2" fillId="4" borderId="43" xfId="0" applyFont="1" applyFill="1" applyBorder="1" applyAlignment="1">
      <alignment horizontal="center" vertical="center" wrapText="1"/>
    </xf>
    <xf numFmtId="44" fontId="0" fillId="4" borderId="1" xfId="1" applyFont="1" applyFill="1" applyBorder="1" applyProtection="1"/>
    <xf numFmtId="44" fontId="2" fillId="0" borderId="12" xfId="1" applyFont="1" applyBorder="1" applyAlignment="1" applyProtection="1">
      <alignment horizontal="center" vertical="center" wrapText="1"/>
      <protection hidden="1"/>
    </xf>
    <xf numFmtId="168" fontId="0" fillId="4" borderId="0" xfId="3" applyNumberFormat="1" applyFont="1" applyFill="1" applyBorder="1" applyAlignment="1" applyProtection="1">
      <alignment horizontal="center" vertical="center" wrapText="1"/>
    </xf>
    <xf numFmtId="14" fontId="0" fillId="4" borderId="0" xfId="0" applyNumberFormat="1" applyFill="1"/>
    <xf numFmtId="44" fontId="0" fillId="4" borderId="1" xfId="0" applyNumberFormat="1" applyFill="1" applyBorder="1" applyProtection="1">
      <protection locked="0"/>
    </xf>
    <xf numFmtId="0" fontId="20" fillId="10" borderId="1" xfId="0" applyFont="1" applyFill="1" applyBorder="1" applyAlignment="1">
      <alignment horizontal="center" vertical="center" wrapText="1"/>
    </xf>
    <xf numFmtId="0" fontId="20" fillId="10" borderId="10" xfId="0" applyFont="1" applyFill="1" applyBorder="1" applyAlignment="1">
      <alignment horizontal="center" vertical="center" wrapText="1"/>
    </xf>
    <xf numFmtId="1" fontId="21" fillId="0" borderId="10" xfId="0" applyNumberFormat="1" applyFont="1" applyBorder="1" applyAlignment="1">
      <alignment horizontal="center" vertical="center"/>
    </xf>
    <xf numFmtId="1" fontId="21" fillId="0" borderId="12" xfId="0" applyNumberFormat="1" applyFont="1" applyBorder="1" applyAlignment="1">
      <alignment horizontal="center" vertical="center"/>
    </xf>
    <xf numFmtId="1" fontId="21" fillId="0" borderId="13" xfId="0" applyNumberFormat="1" applyFont="1" applyBorder="1" applyAlignment="1">
      <alignment horizontal="center" vertical="center"/>
    </xf>
    <xf numFmtId="0" fontId="21" fillId="0" borderId="9" xfId="0" applyFont="1" applyBorder="1" applyAlignment="1">
      <alignment horizontal="center" vertical="center"/>
    </xf>
    <xf numFmtId="0" fontId="21" fillId="0" borderId="11" xfId="0" applyFont="1" applyBorder="1" applyAlignment="1">
      <alignment horizontal="center" vertical="center"/>
    </xf>
    <xf numFmtId="0" fontId="12" fillId="4" borderId="0" xfId="0" applyFont="1" applyFill="1"/>
    <xf numFmtId="0" fontId="12" fillId="7" borderId="0" xfId="0" applyFont="1" applyFill="1"/>
    <xf numFmtId="164" fontId="12" fillId="7" borderId="0" xfId="1" applyNumberFormat="1" applyFont="1" applyFill="1" applyBorder="1"/>
    <xf numFmtId="171" fontId="0" fillId="0" borderId="45" xfId="3" applyNumberFormat="1" applyFont="1" applyBorder="1" applyAlignment="1" applyProtection="1">
      <alignment horizontal="center" vertical="center" wrapText="1"/>
      <protection hidden="1"/>
    </xf>
    <xf numFmtId="171" fontId="0" fillId="0" borderId="10" xfId="3" applyNumberFormat="1" applyFont="1" applyBorder="1" applyAlignment="1" applyProtection="1">
      <alignment horizontal="center" vertical="center" wrapText="1"/>
      <protection hidden="1"/>
    </xf>
    <xf numFmtId="171" fontId="0" fillId="0" borderId="1" xfId="3" applyNumberFormat="1" applyFont="1" applyBorder="1" applyAlignment="1" applyProtection="1">
      <alignment horizontal="center" vertical="center" wrapText="1"/>
      <protection hidden="1"/>
    </xf>
    <xf numFmtId="171" fontId="2" fillId="0" borderId="21" xfId="3" applyNumberFormat="1" applyFont="1" applyBorder="1" applyAlignment="1" applyProtection="1">
      <alignment horizontal="center" vertical="center" wrapText="1"/>
      <protection hidden="1"/>
    </xf>
    <xf numFmtId="0" fontId="2" fillId="0" borderId="40" xfId="0" applyFont="1" applyBorder="1" applyAlignment="1">
      <alignment horizontal="center" vertical="center" wrapText="1"/>
    </xf>
    <xf numFmtId="0" fontId="21" fillId="0" borderId="0" xfId="0" applyFont="1" applyAlignment="1">
      <alignment horizontal="center" vertical="center"/>
    </xf>
    <xf numFmtId="1" fontId="21" fillId="0" borderId="0" xfId="0" applyNumberFormat="1" applyFont="1" applyAlignment="1">
      <alignment horizontal="center" vertical="center"/>
    </xf>
    <xf numFmtId="14" fontId="0" fillId="4" borderId="0" xfId="0" applyNumberFormat="1" applyFill="1" applyAlignment="1">
      <alignment horizontal="center"/>
    </xf>
    <xf numFmtId="44" fontId="2" fillId="4" borderId="14" xfId="0" applyNumberFormat="1" applyFont="1" applyFill="1" applyBorder="1" applyAlignment="1">
      <alignment wrapText="1"/>
    </xf>
    <xf numFmtId="44" fontId="2" fillId="4" borderId="30" xfId="0" applyNumberFormat="1" applyFont="1" applyFill="1" applyBorder="1" applyAlignment="1">
      <alignment wrapText="1"/>
    </xf>
    <xf numFmtId="164" fontId="2" fillId="0" borderId="41" xfId="0" applyNumberFormat="1" applyFont="1" applyBorder="1" applyAlignment="1">
      <alignment wrapText="1"/>
    </xf>
    <xf numFmtId="0" fontId="21" fillId="4" borderId="0" xfId="0" applyFont="1" applyFill="1" applyAlignment="1">
      <alignment horizontal="center" vertical="center"/>
    </xf>
    <xf numFmtId="1" fontId="21" fillId="4" borderId="0" xfId="0" applyNumberFormat="1" applyFont="1" applyFill="1" applyAlignment="1">
      <alignment horizontal="center" vertical="center"/>
    </xf>
    <xf numFmtId="0" fontId="15" fillId="8" borderId="4" xfId="0" applyFont="1" applyFill="1" applyBorder="1" applyAlignment="1">
      <alignment horizontal="center" vertical="center" wrapText="1"/>
    </xf>
    <xf numFmtId="0" fontId="0" fillId="0" borderId="10" xfId="0" applyBorder="1" applyAlignment="1">
      <alignment horizontal="center" vertical="center"/>
    </xf>
    <xf numFmtId="14" fontId="0" fillId="0" borderId="10" xfId="0" applyNumberFormat="1" applyBorder="1" applyAlignment="1">
      <alignment horizontal="center" vertical="center"/>
    </xf>
    <xf numFmtId="0" fontId="0" fillId="0" borderId="13" xfId="0" applyBorder="1" applyAlignment="1">
      <alignment horizontal="center" vertical="center"/>
    </xf>
    <xf numFmtId="44" fontId="5" fillId="0" borderId="10" xfId="1" applyFont="1" applyBorder="1" applyAlignment="1">
      <alignment horizontal="center" vertical="center"/>
    </xf>
    <xf numFmtId="44" fontId="2" fillId="0" borderId="13" xfId="1" applyFont="1" applyBorder="1" applyAlignment="1">
      <alignment horizontal="center" vertical="center"/>
    </xf>
    <xf numFmtId="0" fontId="2" fillId="0" borderId="9" xfId="0" applyFont="1" applyBorder="1" applyAlignment="1">
      <alignment horizontal="right" vertical="center"/>
    </xf>
    <xf numFmtId="0" fontId="2" fillId="0" borderId="54" xfId="0" applyFont="1" applyBorder="1" applyAlignment="1">
      <alignment horizontal="right" vertical="center"/>
    </xf>
    <xf numFmtId="0" fontId="2" fillId="0" borderId="11" xfId="0" applyFont="1" applyBorder="1" applyAlignment="1">
      <alignment horizontal="right" vertical="center"/>
    </xf>
    <xf numFmtId="0" fontId="12" fillId="0" borderId="53" xfId="0" applyFont="1" applyBorder="1" applyAlignment="1">
      <alignment horizontal="center" vertical="center"/>
    </xf>
    <xf numFmtId="44" fontId="2" fillId="0" borderId="10" xfId="1" applyFont="1" applyBorder="1" applyAlignment="1">
      <alignment vertical="center"/>
    </xf>
    <xf numFmtId="44" fontId="0" fillId="0" borderId="11" xfId="1" applyFont="1" applyFill="1" applyBorder="1" applyAlignment="1" applyProtection="1">
      <alignment horizontal="center" vertical="center" wrapText="1"/>
      <protection locked="0"/>
    </xf>
    <xf numFmtId="44" fontId="0" fillId="0" borderId="12" xfId="1" applyFont="1" applyFill="1" applyBorder="1" applyAlignment="1" applyProtection="1">
      <alignment horizontal="center" vertical="center" wrapText="1"/>
      <protection locked="0"/>
    </xf>
    <xf numFmtId="168" fontId="0" fillId="4" borderId="13" xfId="3" applyNumberFormat="1" applyFont="1" applyFill="1" applyBorder="1" applyAlignment="1" applyProtection="1">
      <alignment horizontal="center" vertical="center" wrapText="1"/>
    </xf>
    <xf numFmtId="0" fontId="15" fillId="8" borderId="6" xfId="0" applyFont="1" applyFill="1" applyBorder="1" applyAlignment="1">
      <alignment horizontal="center"/>
    </xf>
    <xf numFmtId="0" fontId="15" fillId="8" borderId="7" xfId="0" applyFont="1" applyFill="1" applyBorder="1" applyAlignment="1">
      <alignment horizontal="center"/>
    </xf>
    <xf numFmtId="0" fontId="2" fillId="0" borderId="8" xfId="0" applyFont="1" applyBorder="1" applyAlignment="1">
      <alignment horizontal="center"/>
    </xf>
    <xf numFmtId="14" fontId="0" fillId="0" borderId="11" xfId="0" applyNumberFormat="1" applyBorder="1" applyAlignment="1" applyProtection="1">
      <alignment horizontal="center"/>
      <protection locked="0"/>
    </xf>
    <xf numFmtId="0" fontId="0" fillId="0" borderId="12" xfId="0" applyBorder="1" applyAlignment="1" applyProtection="1">
      <alignment horizontal="center"/>
      <protection locked="0"/>
    </xf>
    <xf numFmtId="14" fontId="0" fillId="0" borderId="13" xfId="0" applyNumberFormat="1" applyBorder="1" applyAlignment="1">
      <alignment horizontal="center"/>
    </xf>
    <xf numFmtId="0" fontId="0" fillId="0" borderId="9" xfId="0" applyBorder="1" applyAlignment="1" applyProtection="1">
      <alignment horizontal="center"/>
      <protection locked="0"/>
    </xf>
    <xf numFmtId="0" fontId="0" fillId="0" borderId="10" xfId="0" applyBorder="1" applyAlignment="1">
      <alignment horizontal="center"/>
    </xf>
    <xf numFmtId="0" fontId="0" fillId="0" borderId="11" xfId="0" applyBorder="1" applyAlignment="1" applyProtection="1">
      <alignment horizontal="center"/>
      <protection locked="0"/>
    </xf>
    <xf numFmtId="0" fontId="0" fillId="0" borderId="13" xfId="0" applyBorder="1" applyAlignment="1">
      <alignment horizontal="center"/>
    </xf>
    <xf numFmtId="0" fontId="30" fillId="4" borderId="7" xfId="0" applyFont="1" applyFill="1" applyBorder="1" applyAlignment="1">
      <alignment horizontal="center" vertical="center" wrapText="1"/>
    </xf>
    <xf numFmtId="0" fontId="30" fillId="4" borderId="8" xfId="0" applyFont="1" applyFill="1" applyBorder="1" applyAlignment="1">
      <alignment horizontal="center" vertical="center" wrapText="1"/>
    </xf>
    <xf numFmtId="0" fontId="2" fillId="4" borderId="9" xfId="0" applyFont="1" applyFill="1" applyBorder="1" applyAlignment="1">
      <alignment horizontal="center" vertical="center" wrapText="1"/>
    </xf>
    <xf numFmtId="0" fontId="15" fillId="8" borderId="47" xfId="0" applyFont="1" applyFill="1" applyBorder="1" applyAlignment="1">
      <alignment horizontal="center"/>
    </xf>
    <xf numFmtId="0" fontId="2" fillId="4" borderId="9" xfId="0" applyFont="1" applyFill="1" applyBorder="1"/>
    <xf numFmtId="0" fontId="2" fillId="4" borderId="11" xfId="0" applyFont="1" applyFill="1" applyBorder="1"/>
    <xf numFmtId="44" fontId="0" fillId="4" borderId="12" xfId="1" applyFont="1" applyFill="1" applyBorder="1" applyProtection="1">
      <protection locked="0"/>
    </xf>
    <xf numFmtId="44" fontId="0" fillId="4" borderId="12" xfId="0" applyNumberFormat="1" applyFill="1" applyBorder="1" applyProtection="1">
      <protection locked="0"/>
    </xf>
    <xf numFmtId="0" fontId="15" fillId="8" borderId="50" xfId="0" applyFont="1" applyFill="1" applyBorder="1" applyAlignment="1">
      <alignment horizontal="center" vertical="center" wrapText="1"/>
    </xf>
    <xf numFmtId="0" fontId="2" fillId="4" borderId="45" xfId="0" applyFont="1" applyFill="1" applyBorder="1" applyAlignment="1">
      <alignment horizontal="center" vertical="center" wrapText="1"/>
    </xf>
    <xf numFmtId="0" fontId="30" fillId="4" borderId="29" xfId="0" applyFont="1" applyFill="1" applyBorder="1"/>
    <xf numFmtId="0" fontId="30" fillId="4" borderId="14" xfId="0" applyFont="1" applyFill="1" applyBorder="1"/>
    <xf numFmtId="0" fontId="30" fillId="4" borderId="30" xfId="0" applyFont="1" applyFill="1" applyBorder="1"/>
    <xf numFmtId="0" fontId="15" fillId="8" borderId="9" xfId="0" applyFont="1" applyFill="1" applyBorder="1" applyAlignment="1">
      <alignment horizontal="center" vertical="center" wrapText="1"/>
    </xf>
    <xf numFmtId="0" fontId="2" fillId="4" borderId="10" xfId="0" applyFont="1" applyFill="1" applyBorder="1" applyAlignment="1">
      <alignment horizontal="center" vertical="center"/>
    </xf>
    <xf numFmtId="0" fontId="0" fillId="4" borderId="47" xfId="0" applyFill="1" applyBorder="1"/>
    <xf numFmtId="44" fontId="0" fillId="4" borderId="12" xfId="1" applyFont="1" applyFill="1" applyBorder="1" applyProtection="1"/>
    <xf numFmtId="0" fontId="0" fillId="4" borderId="15" xfId="0" applyFill="1" applyBorder="1"/>
    <xf numFmtId="0" fontId="0" fillId="4" borderId="44" xfId="0" applyFill="1" applyBorder="1"/>
    <xf numFmtId="44" fontId="0" fillId="4" borderId="11" xfId="1" applyFont="1" applyFill="1" applyBorder="1" applyProtection="1">
      <protection locked="0"/>
    </xf>
    <xf numFmtId="172" fontId="0" fillId="4" borderId="13" xfId="3" applyNumberFormat="1" applyFont="1" applyFill="1" applyBorder="1" applyProtection="1">
      <protection hidden="1"/>
    </xf>
    <xf numFmtId="172" fontId="0" fillId="4" borderId="10" xfId="3" applyNumberFormat="1" applyFont="1" applyFill="1" applyBorder="1" applyAlignment="1" applyProtection="1">
      <alignment horizontal="center"/>
      <protection locked="0"/>
    </xf>
    <xf numFmtId="172" fontId="0" fillId="4" borderId="13" xfId="3" applyNumberFormat="1" applyFont="1" applyFill="1" applyBorder="1" applyAlignment="1" applyProtection="1">
      <alignment horizontal="center"/>
      <protection locked="0"/>
    </xf>
    <xf numFmtId="164" fontId="7" fillId="0" borderId="0" xfId="1" applyNumberFormat="1" applyFont="1" applyFill="1" applyBorder="1" applyAlignment="1">
      <alignment horizontal="center" vertical="center" wrapText="1"/>
    </xf>
    <xf numFmtId="0" fontId="13" fillId="0" borderId="0" xfId="0" applyFont="1" applyAlignment="1">
      <alignment horizontal="center" vertical="center"/>
    </xf>
    <xf numFmtId="0" fontId="12" fillId="0" borderId="0" xfId="0" applyFont="1" applyAlignment="1">
      <alignment horizontal="left" vertical="top"/>
    </xf>
    <xf numFmtId="164" fontId="12" fillId="0" borderId="0" xfId="1" applyNumberFormat="1" applyFont="1" applyFill="1" applyBorder="1" applyAlignment="1">
      <alignment horizontal="left" vertical="top"/>
    </xf>
    <xf numFmtId="0" fontId="16" fillId="4" borderId="0" xfId="0" applyFont="1" applyFill="1" applyAlignment="1" applyProtection="1">
      <alignment horizontal="center" vertical="center" wrapText="1"/>
      <protection hidden="1"/>
    </xf>
    <xf numFmtId="9" fontId="16" fillId="4" borderId="0" xfId="0" applyNumberFormat="1" applyFont="1" applyFill="1" applyAlignment="1" applyProtection="1">
      <alignment horizontal="center" vertical="center" wrapText="1"/>
      <protection hidden="1"/>
    </xf>
    <xf numFmtId="0" fontId="0" fillId="0" borderId="56" xfId="0" applyBorder="1" applyAlignment="1" applyProtection="1">
      <alignment horizontal="center" vertical="center" wrapText="1"/>
      <protection hidden="1"/>
    </xf>
    <xf numFmtId="0" fontId="12" fillId="0" borderId="0" xfId="0" applyFont="1" applyAlignment="1">
      <alignment horizontal="left" vertical="center" wrapText="1"/>
    </xf>
    <xf numFmtId="0" fontId="20" fillId="10" borderId="7" xfId="0" applyFont="1" applyFill="1" applyBorder="1"/>
    <xf numFmtId="0" fontId="20" fillId="10" borderId="8" xfId="0" applyFont="1" applyFill="1" applyBorder="1"/>
    <xf numFmtId="167" fontId="2" fillId="0" borderId="1" xfId="1" applyNumberFormat="1" applyFont="1" applyFill="1" applyBorder="1" applyAlignment="1" applyProtection="1">
      <alignment horizontal="center" vertical="center" wrapText="1"/>
      <protection hidden="1"/>
    </xf>
    <xf numFmtId="167" fontId="2" fillId="0" borderId="12" xfId="1" applyNumberFormat="1" applyFont="1" applyFill="1" applyBorder="1" applyAlignment="1" applyProtection="1">
      <alignment horizontal="center" vertical="center" wrapText="1"/>
      <protection hidden="1"/>
    </xf>
    <xf numFmtId="9" fontId="2" fillId="0" borderId="10" xfId="3" applyFont="1" applyFill="1" applyBorder="1" applyAlignment="1" applyProtection="1">
      <alignment horizontal="center" vertical="center" wrapText="1"/>
      <protection hidden="1"/>
    </xf>
    <xf numFmtId="9" fontId="2" fillId="0" borderId="13" xfId="3" applyFont="1" applyFill="1" applyBorder="1" applyAlignment="1" applyProtection="1">
      <alignment horizontal="center" vertical="center" wrapText="1"/>
      <protection hidden="1"/>
    </xf>
    <xf numFmtId="0" fontId="15" fillId="8" borderId="29" xfId="0" applyFont="1" applyFill="1" applyBorder="1" applyAlignment="1">
      <alignment horizontal="center" vertical="center"/>
    </xf>
    <xf numFmtId="0" fontId="15" fillId="8" borderId="30" xfId="0" applyFont="1" applyFill="1" applyBorder="1" applyAlignment="1">
      <alignment horizontal="center" vertical="center"/>
    </xf>
    <xf numFmtId="0" fontId="15" fillId="8" borderId="52" xfId="0" applyFont="1" applyFill="1" applyBorder="1" applyAlignment="1">
      <alignment horizontal="center" vertical="center"/>
    </xf>
    <xf numFmtId="0" fontId="15" fillId="8" borderId="53" xfId="0" applyFont="1" applyFill="1" applyBorder="1" applyAlignment="1">
      <alignment horizontal="center" vertical="center"/>
    </xf>
    <xf numFmtId="167" fontId="0" fillId="0" borderId="2" xfId="1" applyNumberFormat="1" applyFont="1" applyBorder="1" applyAlignment="1" applyProtection="1">
      <alignment horizontal="center" vertical="center" wrapText="1"/>
      <protection hidden="1"/>
    </xf>
    <xf numFmtId="167" fontId="0" fillId="0" borderId="4" xfId="1" applyNumberFormat="1" applyFont="1" applyBorder="1" applyAlignment="1" applyProtection="1">
      <alignment horizontal="center" vertical="center" wrapText="1"/>
      <protection hidden="1"/>
    </xf>
    <xf numFmtId="9" fontId="0" fillId="0" borderId="20" xfId="3" applyFont="1" applyBorder="1" applyAlignment="1" applyProtection="1">
      <alignment horizontal="center" vertical="center" wrapText="1"/>
      <protection hidden="1"/>
    </xf>
    <xf numFmtId="9" fontId="0" fillId="0" borderId="45" xfId="3" applyFont="1" applyBorder="1" applyAlignment="1" applyProtection="1">
      <alignment horizontal="center" vertical="center" wrapText="1"/>
      <protection hidden="1"/>
    </xf>
    <xf numFmtId="0" fontId="15" fillId="9" borderId="51" xfId="0" applyFont="1" applyFill="1" applyBorder="1" applyAlignment="1">
      <alignment horizontal="center" vertical="center"/>
    </xf>
    <xf numFmtId="0" fontId="15" fillId="9" borderId="50" xfId="0" applyFont="1" applyFill="1" applyBorder="1" applyAlignment="1">
      <alignment horizontal="center" vertical="center"/>
    </xf>
    <xf numFmtId="0" fontId="14" fillId="9" borderId="21" xfId="0" applyFont="1" applyFill="1" applyBorder="1" applyAlignment="1">
      <alignment horizontal="center" vertical="center" wrapText="1"/>
    </xf>
    <xf numFmtId="0" fontId="14" fillId="9" borderId="4" xfId="0" applyFont="1" applyFill="1" applyBorder="1" applyAlignment="1">
      <alignment horizontal="center" vertical="center" wrapText="1"/>
    </xf>
    <xf numFmtId="0" fontId="14" fillId="9" borderId="49" xfId="0" applyFont="1" applyFill="1" applyBorder="1" applyAlignment="1">
      <alignment horizontal="center" vertical="center" wrapText="1"/>
    </xf>
    <xf numFmtId="0" fontId="14" fillId="9" borderId="45" xfId="0" applyFont="1" applyFill="1" applyBorder="1" applyAlignment="1">
      <alignment horizontal="center" vertical="center" wrapText="1"/>
    </xf>
    <xf numFmtId="0" fontId="0" fillId="4" borderId="0" xfId="0" applyFill="1" applyAlignment="1">
      <alignment horizontal="center" vertical="center" wrapText="1"/>
    </xf>
    <xf numFmtId="0" fontId="2" fillId="0" borderId="48" xfId="0" applyFont="1" applyBorder="1" applyAlignment="1" applyProtection="1">
      <alignment horizontal="center" vertical="center" wrapText="1"/>
      <protection hidden="1"/>
    </xf>
    <xf numFmtId="0" fontId="2" fillId="0" borderId="50" xfId="0" applyFont="1" applyBorder="1" applyAlignment="1" applyProtection="1">
      <alignment horizontal="center" vertical="center" wrapText="1"/>
      <protection hidden="1"/>
    </xf>
    <xf numFmtId="170" fontId="0" fillId="0" borderId="2" xfId="1" applyNumberFormat="1" applyFont="1" applyFill="1" applyBorder="1" applyAlignment="1" applyProtection="1">
      <alignment horizontal="center" vertical="center" wrapText="1"/>
      <protection hidden="1"/>
    </xf>
    <xf numFmtId="170" fontId="0" fillId="0" borderId="4" xfId="1" applyNumberFormat="1" applyFont="1" applyFill="1" applyBorder="1" applyAlignment="1" applyProtection="1">
      <alignment horizontal="center" vertical="center" wrapText="1"/>
      <protection hidden="1"/>
    </xf>
    <xf numFmtId="0" fontId="2" fillId="0" borderId="9" xfId="0" applyFont="1" applyBorder="1" applyAlignment="1" applyProtection="1">
      <alignment horizontal="center" vertical="center" wrapText="1"/>
      <protection hidden="1"/>
    </xf>
    <xf numFmtId="0" fontId="2" fillId="0" borderId="11" xfId="0" applyFont="1" applyBorder="1" applyAlignment="1" applyProtection="1">
      <alignment horizontal="center" vertical="center" wrapText="1"/>
      <protection hidden="1"/>
    </xf>
    <xf numFmtId="170" fontId="2" fillId="0" borderId="1" xfId="1" applyNumberFormat="1" applyFont="1" applyFill="1" applyBorder="1" applyAlignment="1" applyProtection="1">
      <alignment horizontal="center" vertical="center" wrapText="1"/>
      <protection hidden="1"/>
    </xf>
    <xf numFmtId="170" fontId="2" fillId="0" borderId="12" xfId="1" applyNumberFormat="1" applyFont="1" applyFill="1" applyBorder="1" applyAlignment="1" applyProtection="1">
      <alignment horizontal="center" vertical="center" wrapText="1"/>
      <protection hidden="1"/>
    </xf>
    <xf numFmtId="0" fontId="2" fillId="0" borderId="1" xfId="0" applyFont="1" applyBorder="1" applyAlignment="1">
      <alignment horizontal="center" vertical="center" wrapText="1"/>
    </xf>
    <xf numFmtId="0" fontId="5" fillId="0" borderId="21"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6"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34" xfId="0" applyFont="1" applyBorder="1" applyAlignment="1">
      <alignment horizontal="center" vertical="center" wrapText="1"/>
    </xf>
    <xf numFmtId="0" fontId="2" fillId="0" borderId="40"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7" xfId="0" applyFont="1" applyBorder="1" applyAlignment="1">
      <alignment horizontal="center" vertical="center" wrapText="1"/>
    </xf>
    <xf numFmtId="0" fontId="2" fillId="0" borderId="12" xfId="0" applyFont="1" applyBorder="1" applyAlignment="1">
      <alignment horizontal="center" vertical="center" wrapText="1"/>
    </xf>
    <xf numFmtId="0" fontId="15" fillId="8" borderId="2" xfId="0" applyFont="1" applyFill="1" applyBorder="1" applyAlignment="1">
      <alignment horizontal="center" vertical="center" wrapText="1"/>
    </xf>
    <xf numFmtId="0" fontId="15" fillId="8" borderId="3" xfId="0" applyFont="1" applyFill="1" applyBorder="1" applyAlignment="1">
      <alignment horizontal="center" vertical="center"/>
    </xf>
    <xf numFmtId="0" fontId="15" fillId="8" borderId="4" xfId="0" applyFont="1" applyFill="1" applyBorder="1" applyAlignment="1">
      <alignment horizontal="center" vertical="center"/>
    </xf>
    <xf numFmtId="0" fontId="2" fillId="0" borderId="36" xfId="0" applyFont="1" applyBorder="1" applyAlignment="1">
      <alignment horizontal="center" vertical="center" wrapText="1"/>
    </xf>
    <xf numFmtId="0" fontId="2" fillId="0" borderId="42" xfId="0" applyFont="1" applyBorder="1" applyAlignment="1">
      <alignment horizontal="center" vertical="center" wrapText="1"/>
    </xf>
    <xf numFmtId="0" fontId="2" fillId="0" borderId="37" xfId="0" applyFont="1" applyBorder="1" applyAlignment="1">
      <alignment horizontal="center" vertical="center" wrapText="1"/>
    </xf>
    <xf numFmtId="0" fontId="5" fillId="4" borderId="2" xfId="0" applyFont="1" applyFill="1" applyBorder="1" applyAlignment="1">
      <alignment horizontal="center" vertical="center" wrapText="1"/>
    </xf>
    <xf numFmtId="0" fontId="15" fillId="8" borderId="2" xfId="0" applyFont="1" applyFill="1" applyBorder="1" applyAlignment="1">
      <alignment horizontal="center" vertical="center"/>
    </xf>
    <xf numFmtId="0" fontId="15" fillId="8" borderId="3" xfId="0" applyFont="1" applyFill="1" applyBorder="1" applyAlignment="1">
      <alignment horizontal="center" vertical="center" wrapText="1"/>
    </xf>
    <xf numFmtId="0" fontId="15" fillId="8" borderId="4" xfId="0" applyFont="1" applyFill="1" applyBorder="1" applyAlignment="1">
      <alignment horizontal="center" vertical="center" wrapText="1"/>
    </xf>
    <xf numFmtId="0" fontId="2" fillId="0" borderId="6"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1" xfId="0" applyFont="1" applyBorder="1" applyAlignment="1">
      <alignment horizontal="center" vertical="center" wrapText="1"/>
    </xf>
    <xf numFmtId="0" fontId="15" fillId="8" borderId="8" xfId="0" applyFont="1" applyFill="1" applyBorder="1" applyAlignment="1">
      <alignment horizontal="center" vertical="center" wrapText="1"/>
    </xf>
    <xf numFmtId="0" fontId="15" fillId="8" borderId="10" xfId="0" applyFont="1" applyFill="1" applyBorder="1" applyAlignment="1">
      <alignment horizontal="center" vertical="center" wrapText="1"/>
    </xf>
    <xf numFmtId="9" fontId="8" fillId="0" borderId="20" xfId="3" applyFont="1" applyBorder="1" applyAlignment="1" applyProtection="1">
      <alignment horizontal="center" vertical="center" wrapText="1"/>
      <protection hidden="1"/>
    </xf>
    <xf numFmtId="9" fontId="8" fillId="0" borderId="31" xfId="3" applyFont="1" applyBorder="1" applyAlignment="1" applyProtection="1">
      <alignment horizontal="center" vertical="center" wrapText="1"/>
      <protection hidden="1"/>
    </xf>
    <xf numFmtId="9" fontId="8" fillId="0" borderId="33" xfId="3" applyFont="1" applyBorder="1" applyAlignment="1" applyProtection="1">
      <alignment horizontal="center" vertical="center" wrapText="1"/>
      <protection hidden="1"/>
    </xf>
    <xf numFmtId="0" fontId="2" fillId="4" borderId="32" xfId="0" applyFont="1" applyFill="1" applyBorder="1" applyAlignment="1">
      <alignment horizontal="center" vertical="center" wrapText="1"/>
    </xf>
    <xf numFmtId="164" fontId="2" fillId="0" borderId="7" xfId="1" applyNumberFormat="1" applyFont="1" applyFill="1" applyBorder="1" applyAlignment="1" applyProtection="1">
      <alignment horizontal="center" vertical="center" wrapText="1"/>
    </xf>
    <xf numFmtId="164" fontId="2" fillId="0" borderId="1" xfId="1" applyNumberFormat="1" applyFont="1" applyFill="1" applyBorder="1" applyAlignment="1" applyProtection="1">
      <alignment horizontal="center" vertical="center" wrapText="1"/>
    </xf>
    <xf numFmtId="164" fontId="2" fillId="0" borderId="12" xfId="1" applyNumberFormat="1" applyFont="1" applyFill="1" applyBorder="1" applyAlignment="1" applyProtection="1">
      <alignment horizontal="center" vertical="center" wrapText="1"/>
    </xf>
    <xf numFmtId="0" fontId="2" fillId="4" borderId="35" xfId="0" applyFont="1" applyFill="1" applyBorder="1" applyAlignment="1">
      <alignment horizontal="center" vertical="center" wrapText="1"/>
    </xf>
    <xf numFmtId="0" fontId="2" fillId="4" borderId="15" xfId="0" applyFont="1" applyFill="1" applyBorder="1" applyAlignment="1">
      <alignment horizontal="center" vertical="center" wrapText="1"/>
    </xf>
    <xf numFmtId="0" fontId="30" fillId="4" borderId="6" xfId="0" applyFont="1" applyFill="1" applyBorder="1" applyAlignment="1">
      <alignment horizontal="center" vertical="center" wrapText="1"/>
    </xf>
    <xf numFmtId="0" fontId="30" fillId="4" borderId="7" xfId="0" applyFont="1" applyFill="1" applyBorder="1" applyAlignment="1">
      <alignment horizontal="center" vertical="center" wrapText="1"/>
    </xf>
    <xf numFmtId="0" fontId="20" fillId="10" borderId="6" xfId="0" applyFont="1" applyFill="1" applyBorder="1" applyAlignment="1">
      <alignment horizontal="center" vertical="center" wrapText="1"/>
    </xf>
    <xf numFmtId="0" fontId="20" fillId="10" borderId="9" xfId="0" applyFont="1" applyFill="1" applyBorder="1" applyAlignment="1">
      <alignment horizontal="center" vertical="center" wrapText="1"/>
    </xf>
    <xf numFmtId="0" fontId="30" fillId="4" borderId="29" xfId="0" applyFont="1" applyFill="1" applyBorder="1" applyAlignment="1">
      <alignment horizontal="center" vertical="center" wrapText="1"/>
    </xf>
    <xf numFmtId="0" fontId="30" fillId="4" borderId="14" xfId="0" applyFont="1" applyFill="1" applyBorder="1" applyAlignment="1">
      <alignment horizontal="center" vertical="center" wrapText="1"/>
    </xf>
    <xf numFmtId="0" fontId="30" fillId="4" borderId="30" xfId="0" applyFont="1" applyFill="1" applyBorder="1" applyAlignment="1">
      <alignment horizontal="center" vertical="center" wrapText="1"/>
    </xf>
    <xf numFmtId="0" fontId="30" fillId="4" borderId="55" xfId="0" applyFont="1" applyFill="1" applyBorder="1" applyAlignment="1">
      <alignment horizontal="center" vertical="center" wrapText="1"/>
    </xf>
    <xf numFmtId="0" fontId="30" fillId="4" borderId="0" xfId="0" applyFont="1" applyFill="1" applyAlignment="1">
      <alignment horizontal="center" vertical="center" wrapText="1"/>
    </xf>
    <xf numFmtId="0" fontId="30" fillId="4" borderId="47" xfId="0" applyFont="1" applyFill="1" applyBorder="1" applyAlignment="1">
      <alignment horizontal="center" vertical="center" wrapText="1"/>
    </xf>
    <xf numFmtId="0" fontId="31" fillId="10" borderId="21" xfId="0" applyFont="1" applyFill="1" applyBorder="1" applyAlignment="1">
      <alignment horizontal="center" vertical="center" wrapText="1"/>
    </xf>
    <xf numFmtId="0" fontId="31" fillId="10" borderId="4" xfId="0" applyFont="1" applyFill="1" applyBorder="1" applyAlignment="1">
      <alignment horizontal="center" vertical="center" wrapText="1"/>
    </xf>
    <xf numFmtId="0" fontId="2" fillId="0" borderId="29"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30" xfId="0" applyFont="1" applyBorder="1" applyAlignment="1">
      <alignment horizontal="center" vertical="center" wrapText="1"/>
    </xf>
    <xf numFmtId="0" fontId="2" fillId="0" borderId="55" xfId="0" applyFont="1" applyBorder="1" applyAlignment="1">
      <alignment horizontal="center" vertical="center" wrapText="1"/>
    </xf>
    <xf numFmtId="0" fontId="2" fillId="0" borderId="0" xfId="0" applyFont="1" applyAlignment="1">
      <alignment horizontal="center" vertical="center" wrapText="1"/>
    </xf>
    <xf numFmtId="0" fontId="2" fillId="0" borderId="47" xfId="0" applyFont="1" applyBorder="1" applyAlignment="1">
      <alignment horizontal="center" vertical="center" wrapText="1"/>
    </xf>
    <xf numFmtId="0" fontId="2" fillId="0" borderId="52"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53" xfId="0" applyFont="1" applyBorder="1" applyAlignment="1">
      <alignment horizontal="center" vertical="center" wrapText="1"/>
    </xf>
    <xf numFmtId="0" fontId="2" fillId="9" borderId="0" xfId="0" applyFont="1" applyFill="1" applyAlignment="1">
      <alignment horizontal="center" vertical="center"/>
    </xf>
    <xf numFmtId="0" fontId="2" fillId="9" borderId="17" xfId="0" applyFont="1" applyFill="1" applyBorder="1" applyAlignment="1">
      <alignment horizontal="center" vertical="center"/>
    </xf>
    <xf numFmtId="0" fontId="25" fillId="12" borderId="22" xfId="0" applyFont="1" applyFill="1" applyBorder="1" applyAlignment="1" applyProtection="1">
      <alignment horizontal="center" vertical="center" wrapText="1"/>
      <protection locked="0"/>
    </xf>
    <xf numFmtId="0" fontId="25" fillId="12" borderId="5" xfId="0" applyFont="1" applyFill="1" applyBorder="1" applyAlignment="1" applyProtection="1">
      <alignment horizontal="center" vertical="center" wrapText="1"/>
      <protection locked="0"/>
    </xf>
    <xf numFmtId="0" fontId="24" fillId="0" borderId="0" xfId="0" applyFont="1" applyAlignment="1">
      <alignment horizontal="center" vertical="center"/>
    </xf>
    <xf numFmtId="0" fontId="25" fillId="12" borderId="34" xfId="0" applyFont="1" applyFill="1" applyBorder="1" applyAlignment="1" applyProtection="1">
      <alignment horizontal="center" vertical="center" wrapText="1"/>
      <protection locked="0"/>
    </xf>
    <xf numFmtId="0" fontId="27" fillId="12" borderId="34" xfId="0" applyFont="1" applyFill="1" applyBorder="1" applyAlignment="1" applyProtection="1">
      <alignment horizontal="center" vertical="center" wrapText="1"/>
      <protection locked="0"/>
    </xf>
    <xf numFmtId="0" fontId="27" fillId="12" borderId="22" xfId="0" applyFont="1" applyFill="1" applyBorder="1" applyAlignment="1" applyProtection="1">
      <alignment horizontal="center" vertical="center" wrapText="1"/>
      <protection locked="0"/>
    </xf>
    <xf numFmtId="0" fontId="27" fillId="12" borderId="5" xfId="0" applyFont="1" applyFill="1" applyBorder="1" applyAlignment="1" applyProtection="1">
      <alignment horizontal="center" vertical="center" wrapText="1"/>
      <protection locked="0"/>
    </xf>
  </cellXfs>
  <cellStyles count="5">
    <cellStyle name="Comma" xfId="2" builtinId="3"/>
    <cellStyle name="Currency" xfId="1" builtinId="4"/>
    <cellStyle name="Hyperlink" xfId="4" builtinId="8"/>
    <cellStyle name="Normal" xfId="0" builtinId="0"/>
    <cellStyle name="Percent" xfId="3" builtinId="5"/>
  </cellStyles>
  <dxfs count="3">
    <dxf>
      <font>
        <color rgb="FF006100"/>
      </font>
      <fill>
        <patternFill>
          <bgColor rgb="FFC6EFCE"/>
        </patternFill>
      </fill>
    </dxf>
    <dxf>
      <font>
        <color rgb="FF9C5700"/>
      </font>
      <fill>
        <patternFill>
          <bgColor rgb="FFFFEB9C"/>
        </patternFill>
      </fill>
    </dxf>
    <dxf>
      <font>
        <color rgb="FFFF0000"/>
      </font>
    </dxf>
  </dxfs>
  <tableStyles count="0" defaultTableStyle="TableStyleMedium2" defaultPivotStyle="PivotStyleLight16"/>
  <colors>
    <mruColors>
      <color rgb="FFACC953"/>
      <color rgb="FFCC99FF"/>
      <color rgb="FF4A4778"/>
      <color rgb="FFF5DDFF"/>
      <color rgb="FFEEDDFF"/>
      <color rgb="FFDABFFD"/>
      <color rgb="FF99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9</xdr:col>
      <xdr:colOff>123825</xdr:colOff>
      <xdr:row>0</xdr:row>
      <xdr:rowOff>123825</xdr:rowOff>
    </xdr:from>
    <xdr:to>
      <xdr:col>11</xdr:col>
      <xdr:colOff>352557</xdr:colOff>
      <xdr:row>2</xdr:row>
      <xdr:rowOff>152066</xdr:rowOff>
    </xdr:to>
    <xdr:pic>
      <xdr:nvPicPr>
        <xdr:cNvPr id="2" name="Picture 1">
          <a:extLst>
            <a:ext uri="{FF2B5EF4-FFF2-40B4-BE49-F238E27FC236}">
              <a16:creationId xmlns:a16="http://schemas.microsoft.com/office/drawing/2014/main" id="{893E6E0E-FE7D-4730-7AC8-EA24457D796A}"/>
            </a:ext>
          </a:extLst>
        </xdr:cNvPr>
        <xdr:cNvPicPr>
          <a:picLocks noChangeAspect="1"/>
        </xdr:cNvPicPr>
      </xdr:nvPicPr>
      <xdr:blipFill>
        <a:blip xmlns:r="http://schemas.openxmlformats.org/officeDocument/2006/relationships" r:embed="rId1"/>
        <a:stretch>
          <a:fillRect/>
        </a:stretch>
      </xdr:blipFill>
      <xdr:spPr>
        <a:xfrm>
          <a:off x="11163300" y="123825"/>
          <a:ext cx="1524132" cy="54259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47</xdr:col>
      <xdr:colOff>571500</xdr:colOff>
      <xdr:row>0</xdr:row>
      <xdr:rowOff>114300</xdr:rowOff>
    </xdr:from>
    <xdr:to>
      <xdr:col>49</xdr:col>
      <xdr:colOff>315978</xdr:colOff>
      <xdr:row>1</xdr:row>
      <xdr:rowOff>304213</xdr:rowOff>
    </xdr:to>
    <xdr:pic>
      <xdr:nvPicPr>
        <xdr:cNvPr id="4" name="Picture 3">
          <a:extLst>
            <a:ext uri="{FF2B5EF4-FFF2-40B4-BE49-F238E27FC236}">
              <a16:creationId xmlns:a16="http://schemas.microsoft.com/office/drawing/2014/main" id="{AA35AE87-3EC7-5E79-B2CF-E628FF5A501D}"/>
            </a:ext>
          </a:extLst>
        </xdr:cNvPr>
        <xdr:cNvPicPr>
          <a:picLocks noChangeAspect="1"/>
        </xdr:cNvPicPr>
      </xdr:nvPicPr>
      <xdr:blipFill>
        <a:blip xmlns:r="http://schemas.openxmlformats.org/officeDocument/2006/relationships" r:embed="rId1"/>
        <a:stretch>
          <a:fillRect/>
        </a:stretch>
      </xdr:blipFill>
      <xdr:spPr>
        <a:xfrm>
          <a:off x="14725650" y="114300"/>
          <a:ext cx="1487553" cy="54551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114300</xdr:colOff>
      <xdr:row>1</xdr:row>
      <xdr:rowOff>85724</xdr:rowOff>
    </xdr:from>
    <xdr:to>
      <xdr:col>12</xdr:col>
      <xdr:colOff>390525</xdr:colOff>
      <xdr:row>59</xdr:row>
      <xdr:rowOff>38996</xdr:rowOff>
    </xdr:to>
    <xdr:pic>
      <xdr:nvPicPr>
        <xdr:cNvPr id="4" name="Picture 3">
          <a:extLst>
            <a:ext uri="{FF2B5EF4-FFF2-40B4-BE49-F238E27FC236}">
              <a16:creationId xmlns:a16="http://schemas.microsoft.com/office/drawing/2014/main" id="{6B19359D-50D9-244B-0AB1-BD134554E84C}"/>
            </a:ext>
          </a:extLst>
        </xdr:cNvPr>
        <xdr:cNvPicPr>
          <a:picLocks noChangeAspect="1"/>
        </xdr:cNvPicPr>
      </xdr:nvPicPr>
      <xdr:blipFill>
        <a:blip xmlns:r="http://schemas.openxmlformats.org/officeDocument/2006/relationships" r:embed="rId1"/>
        <a:stretch>
          <a:fillRect/>
        </a:stretch>
      </xdr:blipFill>
      <xdr:spPr>
        <a:xfrm>
          <a:off x="114300" y="323849"/>
          <a:ext cx="8245475" cy="10449822"/>
        </a:xfrm>
        <a:prstGeom prst="rect">
          <a:avLst/>
        </a:prstGeom>
        <a:effectLst>
          <a:outerShdw blurRad="63500" sx="102000" sy="102000" algn="ctr" rotWithShape="0">
            <a:prstClr val="black">
              <a:alpha val="40000"/>
            </a:prstClr>
          </a:outerShdw>
        </a:effectLst>
      </xdr:spPr>
    </xdr:pic>
    <xdr:clientData/>
  </xdr:twoCellAnchor>
  <xdr:twoCellAnchor editAs="oneCell">
    <xdr:from>
      <xdr:col>13</xdr:col>
      <xdr:colOff>160336</xdr:colOff>
      <xdr:row>1</xdr:row>
      <xdr:rowOff>57150</xdr:rowOff>
    </xdr:from>
    <xdr:to>
      <xdr:col>27</xdr:col>
      <xdr:colOff>1153</xdr:colOff>
      <xdr:row>20</xdr:row>
      <xdr:rowOff>173037</xdr:rowOff>
    </xdr:to>
    <xdr:pic>
      <xdr:nvPicPr>
        <xdr:cNvPr id="7" name="Picture 6">
          <a:extLst>
            <a:ext uri="{FF2B5EF4-FFF2-40B4-BE49-F238E27FC236}">
              <a16:creationId xmlns:a16="http://schemas.microsoft.com/office/drawing/2014/main" id="{7F767EBB-00C5-3008-4079-7F99980EFA9C}"/>
            </a:ext>
          </a:extLst>
        </xdr:cNvPr>
        <xdr:cNvPicPr>
          <a:picLocks noChangeAspect="1"/>
        </xdr:cNvPicPr>
      </xdr:nvPicPr>
      <xdr:blipFill>
        <a:blip xmlns:r="http://schemas.openxmlformats.org/officeDocument/2006/relationships" r:embed="rId2"/>
        <a:stretch>
          <a:fillRect/>
        </a:stretch>
      </xdr:blipFill>
      <xdr:spPr>
        <a:xfrm>
          <a:off x="9237661" y="285750"/>
          <a:ext cx="8918142" cy="3554412"/>
        </a:xfrm>
        <a:prstGeom prst="rect">
          <a:avLst/>
        </a:prstGeom>
        <a:effectLst>
          <a:outerShdw blurRad="63500" sx="102000" sy="102000" algn="ctr" rotWithShape="0">
            <a:prstClr val="black">
              <a:alpha val="40000"/>
            </a:prstClr>
          </a:outerShdw>
        </a:effec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hyperlink" Target="https://donyati.lightning.force.com/lightning/r/Report/00OQO000000NQeX2AW/view?queryScope=userFolder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79FF8-39C2-4794-8725-C2FED5601DA9}">
  <sheetPr codeName="Sheet12"/>
  <dimension ref="A1:S46"/>
  <sheetViews>
    <sheetView workbookViewId="0">
      <selection sqref="A1:B2"/>
    </sheetView>
  </sheetViews>
  <sheetFormatPr defaultRowHeight="15" x14ac:dyDescent="0.25"/>
  <cols>
    <col min="1" max="1" width="26.42578125" customWidth="1"/>
    <col min="2" max="2" width="37.5703125" customWidth="1"/>
    <col min="5" max="5" width="14.28515625" customWidth="1"/>
    <col min="6" max="6" width="16.5703125" customWidth="1"/>
    <col min="7" max="7" width="17.140625" customWidth="1"/>
    <col min="8" max="8" width="15.28515625" customWidth="1"/>
  </cols>
  <sheetData>
    <row r="1" spans="1:19" ht="20.100000000000001" customHeight="1" x14ac:dyDescent="0.25">
      <c r="A1" s="375" t="s">
        <v>0</v>
      </c>
      <c r="B1" s="376"/>
      <c r="C1" s="16"/>
      <c r="D1" s="16"/>
      <c r="E1" s="383"/>
      <c r="F1" s="385" t="s">
        <v>1</v>
      </c>
      <c r="G1" s="385" t="s">
        <v>2</v>
      </c>
      <c r="H1" s="387" t="s">
        <v>3</v>
      </c>
      <c r="J1" s="16"/>
      <c r="K1" s="16"/>
      <c r="L1" s="16"/>
      <c r="M1" s="16"/>
      <c r="N1" s="16"/>
      <c r="O1" s="16"/>
      <c r="P1" s="16"/>
      <c r="Q1" s="16"/>
      <c r="R1" s="16"/>
      <c r="S1" s="16"/>
    </row>
    <row r="2" spans="1:19" ht="20.100000000000001" customHeight="1" x14ac:dyDescent="0.25">
      <c r="A2" s="377"/>
      <c r="B2" s="378"/>
      <c r="C2" s="16"/>
      <c r="D2" s="16"/>
      <c r="E2" s="384"/>
      <c r="F2" s="386"/>
      <c r="G2" s="386"/>
      <c r="H2" s="388"/>
      <c r="I2" s="16"/>
      <c r="J2" s="16"/>
      <c r="K2" s="16"/>
      <c r="L2" s="16"/>
      <c r="M2" s="16"/>
      <c r="N2" s="16"/>
      <c r="O2" s="16"/>
      <c r="P2" s="16"/>
      <c r="Q2" s="16"/>
      <c r="R2" s="16"/>
      <c r="S2" s="16"/>
    </row>
    <row r="3" spans="1:19" ht="20.100000000000001" customHeight="1" x14ac:dyDescent="0.25">
      <c r="A3" s="320" t="s">
        <v>4</v>
      </c>
      <c r="B3" s="315" t="str">
        <f>'Pricing Details'!B1</f>
        <v>IEEE</v>
      </c>
      <c r="C3" s="16"/>
      <c r="D3" s="16"/>
      <c r="E3" s="390" t="s">
        <v>5</v>
      </c>
      <c r="F3" s="392">
        <f>'Pricing Details'!AT51</f>
        <v>230</v>
      </c>
      <c r="G3" s="379">
        <f>'Pricing Details'!AU51</f>
        <v>20150</v>
      </c>
      <c r="H3" s="381">
        <f>'Pricing Details'!AV51</f>
        <v>0.28260869565217389</v>
      </c>
      <c r="I3" s="16"/>
      <c r="J3" s="16"/>
      <c r="K3" s="16"/>
      <c r="L3" s="16"/>
      <c r="M3" s="16"/>
      <c r="N3" s="16"/>
      <c r="O3" s="16"/>
      <c r="P3" s="16"/>
      <c r="Q3" s="16"/>
      <c r="R3" s="16"/>
      <c r="S3" s="16"/>
    </row>
    <row r="4" spans="1:19" ht="20.100000000000001" customHeight="1" x14ac:dyDescent="0.25">
      <c r="A4" s="320" t="s">
        <v>6</v>
      </c>
      <c r="B4" s="315" t="str">
        <f>IF('Pricing Details'!B2=0," ",'Pricing Details'!B2)</f>
        <v>IT</v>
      </c>
      <c r="C4" s="16"/>
      <c r="D4" s="16"/>
      <c r="E4" s="391"/>
      <c r="F4" s="393"/>
      <c r="G4" s="380"/>
      <c r="H4" s="382"/>
      <c r="I4" s="16"/>
      <c r="J4" s="16"/>
      <c r="K4" s="16"/>
      <c r="L4" s="16"/>
      <c r="M4" s="16"/>
      <c r="N4" s="16"/>
      <c r="O4" s="16"/>
      <c r="P4" s="16"/>
      <c r="Q4" s="16"/>
      <c r="R4" s="16"/>
      <c r="S4" s="16"/>
    </row>
    <row r="5" spans="1:19" ht="20.100000000000001" customHeight="1" x14ac:dyDescent="0.25">
      <c r="A5" s="320" t="s">
        <v>7</v>
      </c>
      <c r="B5" s="315" t="str">
        <f>IF('Pricing Details'!B3=0," ",'Pricing Details'!B3)</f>
        <v>Change Management</v>
      </c>
      <c r="C5" s="16"/>
      <c r="D5" s="16"/>
      <c r="E5" s="390" t="s">
        <v>8</v>
      </c>
      <c r="F5" s="392">
        <f>'Pricing Details'!AT52</f>
        <v>0</v>
      </c>
      <c r="G5" s="379">
        <f>'Pricing Details'!AU52</f>
        <v>0</v>
      </c>
      <c r="H5" s="381">
        <f>'Pricing Details'!AV52</f>
        <v>0</v>
      </c>
      <c r="I5" s="16"/>
      <c r="J5" s="16"/>
      <c r="K5" s="16"/>
      <c r="L5" s="16"/>
      <c r="M5" s="16"/>
      <c r="N5" s="16"/>
      <c r="O5" s="16"/>
      <c r="P5" s="16"/>
      <c r="Q5" s="16"/>
      <c r="R5" s="16"/>
      <c r="S5" s="16"/>
    </row>
    <row r="6" spans="1:19" ht="20.100000000000001" customHeight="1" x14ac:dyDescent="0.25">
      <c r="A6" s="320" t="s">
        <v>9</v>
      </c>
      <c r="B6" s="315" t="str">
        <f>'Pricing Details'!F2</f>
        <v>Expansion</v>
      </c>
      <c r="C6" s="16"/>
      <c r="D6" s="16"/>
      <c r="E6" s="391"/>
      <c r="F6" s="393"/>
      <c r="G6" s="380"/>
      <c r="H6" s="382"/>
      <c r="I6" s="16"/>
      <c r="J6" s="16"/>
      <c r="K6" s="16"/>
      <c r="L6" s="16"/>
      <c r="M6" s="16"/>
      <c r="N6" s="16"/>
      <c r="O6" s="16"/>
      <c r="P6" s="16"/>
      <c r="Q6" s="16"/>
      <c r="R6" s="16"/>
      <c r="S6" s="16"/>
    </row>
    <row r="7" spans="1:19" ht="20.100000000000001" customHeight="1" x14ac:dyDescent="0.25">
      <c r="A7" s="320" t="s">
        <v>10</v>
      </c>
      <c r="B7" s="316">
        <f>'Pricing Details'!D1</f>
        <v>46013</v>
      </c>
      <c r="C7" s="16"/>
      <c r="D7" s="16"/>
      <c r="E7" s="394" t="s">
        <v>11</v>
      </c>
      <c r="F7" s="396">
        <f>'Pricing Details'!AT53</f>
        <v>230</v>
      </c>
      <c r="G7" s="371">
        <f>'Pricing Details'!AU53</f>
        <v>20150</v>
      </c>
      <c r="H7" s="373">
        <f>'Pricing Details'!AV53</f>
        <v>0.28260869565217389</v>
      </c>
      <c r="I7" s="16"/>
      <c r="J7" s="16"/>
      <c r="K7" s="16"/>
      <c r="L7" s="16"/>
      <c r="M7" s="16"/>
      <c r="N7" s="16"/>
      <c r="O7" s="16"/>
      <c r="P7" s="16"/>
      <c r="Q7" s="16"/>
      <c r="R7" s="16"/>
      <c r="S7" s="16"/>
    </row>
    <row r="8" spans="1:19" ht="20.100000000000001" customHeight="1" thickBot="1" x14ac:dyDescent="0.3">
      <c r="A8" s="320" t="s">
        <v>12</v>
      </c>
      <c r="B8" s="315" t="str">
        <f>IF('Pricing Details'!D2=0," ",'Pricing Details'!D2)</f>
        <v>Camryn Barry</v>
      </c>
      <c r="C8" s="16"/>
      <c r="D8" s="16"/>
      <c r="E8" s="395"/>
      <c r="F8" s="397"/>
      <c r="G8" s="372"/>
      <c r="H8" s="374"/>
      <c r="I8" s="16"/>
      <c r="J8" s="16"/>
      <c r="K8" s="16"/>
      <c r="L8" s="16"/>
      <c r="M8" s="16"/>
      <c r="N8" s="16"/>
      <c r="O8" s="16"/>
      <c r="P8" s="16"/>
      <c r="Q8" s="16"/>
      <c r="R8" s="16"/>
      <c r="S8" s="16"/>
    </row>
    <row r="9" spans="1:19" ht="20.100000000000001" customHeight="1" x14ac:dyDescent="0.25">
      <c r="A9" s="320" t="s">
        <v>13</v>
      </c>
      <c r="B9" s="315" t="str">
        <f>IF('Pricing Details'!D3=0," ",'Pricing Details'!D3)</f>
        <v>Jai Jain</v>
      </c>
      <c r="C9" s="16"/>
      <c r="D9" s="16"/>
      <c r="E9" s="16"/>
      <c r="F9" s="16"/>
      <c r="G9" s="16"/>
      <c r="H9" s="16"/>
      <c r="I9" s="16"/>
      <c r="J9" s="16"/>
      <c r="K9" s="16"/>
      <c r="L9" s="16"/>
      <c r="M9" s="16"/>
      <c r="N9" s="16"/>
      <c r="O9" s="16"/>
      <c r="P9" s="16"/>
      <c r="Q9" s="16"/>
      <c r="R9" s="16"/>
      <c r="S9" s="16"/>
    </row>
    <row r="10" spans="1:19" ht="20.100000000000001" customHeight="1" thickBot="1" x14ac:dyDescent="0.3">
      <c r="A10" s="321" t="s">
        <v>14</v>
      </c>
      <c r="B10" s="317" t="str">
        <f>IF('Pricing Details'!D4=0," ",'Pricing Details'!D4)</f>
        <v>Melissa O'Blenis</v>
      </c>
      <c r="C10" s="16"/>
      <c r="D10" s="16"/>
      <c r="E10" s="16"/>
      <c r="F10" s="16"/>
      <c r="G10" s="16"/>
      <c r="H10" s="16"/>
      <c r="I10" s="16"/>
      <c r="J10" s="16"/>
      <c r="K10" s="16"/>
      <c r="L10" s="16"/>
      <c r="M10" s="16"/>
      <c r="N10" s="16"/>
      <c r="O10" s="16"/>
      <c r="P10" s="16"/>
      <c r="Q10" s="16"/>
      <c r="R10" s="16"/>
      <c r="S10" s="16"/>
    </row>
    <row r="11" spans="1:19" ht="20.100000000000001" customHeight="1" thickBot="1" x14ac:dyDescent="0.3">
      <c r="C11" s="16"/>
      <c r="D11" s="16"/>
      <c r="E11" s="16"/>
      <c r="F11" s="16"/>
      <c r="G11" s="16"/>
      <c r="H11" s="16"/>
      <c r="I11" s="16"/>
      <c r="J11" s="16"/>
      <c r="K11" s="16"/>
      <c r="L11" s="16"/>
      <c r="M11" s="16"/>
      <c r="N11" s="16"/>
      <c r="O11" s="16"/>
      <c r="P11" s="16"/>
      <c r="Q11" s="16"/>
      <c r="R11" s="16"/>
      <c r="S11" s="16"/>
    </row>
    <row r="12" spans="1:19" x14ac:dyDescent="0.25">
      <c r="A12" s="375" t="s">
        <v>15</v>
      </c>
      <c r="B12" s="376"/>
      <c r="C12" s="16"/>
      <c r="D12" s="16"/>
      <c r="E12" s="16"/>
      <c r="F12" s="16"/>
      <c r="G12" s="16"/>
      <c r="H12" s="16"/>
      <c r="I12" s="16"/>
      <c r="J12" s="16"/>
      <c r="K12" s="16"/>
      <c r="L12" s="16"/>
      <c r="M12" s="16"/>
      <c r="N12" s="16"/>
      <c r="O12" s="16"/>
      <c r="P12" s="16"/>
      <c r="Q12" s="16"/>
      <c r="R12" s="16"/>
      <c r="S12" s="16"/>
    </row>
    <row r="13" spans="1:19" ht="20.100000000000001" customHeight="1" x14ac:dyDescent="0.25">
      <c r="A13" s="377"/>
      <c r="B13" s="378"/>
      <c r="C13" s="16"/>
      <c r="D13" s="16"/>
      <c r="E13" s="16"/>
      <c r="F13" s="16"/>
      <c r="G13" s="16"/>
      <c r="H13" s="16"/>
      <c r="I13" s="16"/>
      <c r="J13" s="16"/>
      <c r="K13" s="16"/>
      <c r="L13" s="16"/>
      <c r="M13" s="16"/>
      <c r="N13" s="16"/>
      <c r="O13" s="16"/>
      <c r="P13" s="16"/>
      <c r="Q13" s="16"/>
      <c r="R13" s="16"/>
      <c r="S13" s="16"/>
    </row>
    <row r="14" spans="1:19" ht="20.100000000000001" customHeight="1" x14ac:dyDescent="0.25">
      <c r="A14" s="320" t="s">
        <v>16</v>
      </c>
      <c r="B14" s="323" t="str">
        <f>'Pricing Details'!B4</f>
        <v>T&amp;M</v>
      </c>
      <c r="C14" s="16"/>
      <c r="D14" s="16"/>
      <c r="E14" s="16"/>
      <c r="F14" s="16"/>
      <c r="G14" s="16"/>
      <c r="H14" s="16"/>
      <c r="I14" s="16"/>
      <c r="J14" s="16"/>
      <c r="K14" s="16"/>
      <c r="L14" s="16"/>
      <c r="M14" s="16"/>
      <c r="N14" s="16"/>
      <c r="O14" s="16"/>
      <c r="P14" s="16"/>
      <c r="Q14" s="16"/>
      <c r="R14" s="16"/>
      <c r="S14" s="16"/>
    </row>
    <row r="15" spans="1:19" ht="20.100000000000001" customHeight="1" x14ac:dyDescent="0.25">
      <c r="A15" s="320" t="s">
        <v>17</v>
      </c>
      <c r="B15" s="315" t="str">
        <f>'Pricing Details'!AR4</f>
        <v>Hourly Rate</v>
      </c>
      <c r="C15" s="16"/>
      <c r="D15" s="16"/>
      <c r="E15" s="16"/>
      <c r="F15" s="16"/>
      <c r="G15" s="16"/>
      <c r="H15" s="16"/>
      <c r="I15" s="16"/>
      <c r="J15" s="16"/>
      <c r="K15" s="16"/>
      <c r="L15" s="16"/>
      <c r="M15" s="16"/>
      <c r="N15" s="16"/>
      <c r="O15" s="16"/>
      <c r="P15" s="16"/>
      <c r="Q15" s="16"/>
      <c r="R15" s="16"/>
      <c r="S15" s="16"/>
    </row>
    <row r="16" spans="1:19" ht="20.100000000000001" customHeight="1" x14ac:dyDescent="0.25">
      <c r="A16" s="320" t="s">
        <v>18</v>
      </c>
      <c r="B16" s="324">
        <f>'Pricing Details'!AS44</f>
        <v>85250</v>
      </c>
      <c r="C16" s="16"/>
      <c r="D16" s="16"/>
      <c r="E16" s="16"/>
      <c r="F16" s="16"/>
      <c r="G16" s="16"/>
      <c r="H16" s="16"/>
      <c r="I16" s="16"/>
      <c r="J16" s="16"/>
      <c r="K16" s="16"/>
      <c r="L16" s="16"/>
      <c r="M16" s="16"/>
      <c r="N16" s="16"/>
      <c r="O16" s="16"/>
      <c r="P16" s="16"/>
      <c r="Q16" s="16"/>
      <c r="R16" s="16"/>
      <c r="S16" s="16"/>
    </row>
    <row r="17" spans="1:19" ht="20.100000000000001" customHeight="1" x14ac:dyDescent="0.25">
      <c r="A17" s="320" t="s">
        <v>19</v>
      </c>
      <c r="B17" s="318">
        <f>IF('Pricing Details'!AR4="Bottom Line",'Pricing Details'!$AS$45,'Pricing Details'!$AS$44-'Pricing Details'!$AU$44)</f>
        <v>13950</v>
      </c>
      <c r="C17" s="16"/>
      <c r="D17" s="16"/>
      <c r="E17" s="16"/>
      <c r="F17" s="16"/>
      <c r="G17" s="16"/>
      <c r="H17" s="16"/>
      <c r="I17" s="16"/>
      <c r="J17" s="16"/>
      <c r="K17" s="16"/>
      <c r="L17" s="16"/>
      <c r="M17" s="16"/>
      <c r="N17" s="16"/>
      <c r="O17" s="16"/>
      <c r="P17" s="16"/>
      <c r="Q17" s="16"/>
      <c r="R17" s="16"/>
      <c r="S17" s="16"/>
    </row>
    <row r="18" spans="1:19" ht="20.100000000000001" customHeight="1" thickBot="1" x14ac:dyDescent="0.3">
      <c r="A18" s="322" t="s">
        <v>20</v>
      </c>
      <c r="B18" s="319">
        <f>IF('Pricing Details'!$AR$4="Bottom Line",'Pricing Details'!AU45,'Pricing Details'!AU44)</f>
        <v>71300</v>
      </c>
      <c r="C18" s="389"/>
      <c r="D18" s="389"/>
      <c r="E18" s="72"/>
      <c r="F18" s="16"/>
      <c r="G18" s="16"/>
      <c r="H18" s="16"/>
      <c r="I18" s="16"/>
      <c r="J18" s="16"/>
      <c r="K18" s="16"/>
      <c r="L18" s="16"/>
      <c r="M18" s="16"/>
      <c r="N18" s="16"/>
      <c r="O18" s="16"/>
      <c r="P18" s="16"/>
      <c r="Q18" s="16"/>
      <c r="R18" s="16"/>
      <c r="S18" s="16"/>
    </row>
    <row r="19" spans="1:19" ht="20.100000000000001" customHeight="1" x14ac:dyDescent="0.25">
      <c r="A19" s="16"/>
      <c r="B19" s="16"/>
      <c r="C19" s="16"/>
      <c r="D19" s="16"/>
      <c r="E19" s="16"/>
      <c r="F19" s="16"/>
      <c r="G19" s="16"/>
      <c r="H19" s="16"/>
      <c r="I19" s="16"/>
      <c r="J19" s="16"/>
      <c r="K19" s="16"/>
      <c r="L19" s="16"/>
      <c r="M19" s="16"/>
      <c r="N19" s="16"/>
      <c r="O19" s="16"/>
      <c r="P19" s="16"/>
      <c r="Q19" s="16"/>
      <c r="R19" s="16"/>
      <c r="S19" s="16"/>
    </row>
    <row r="20" spans="1:19" x14ac:dyDescent="0.25">
      <c r="A20" s="16"/>
      <c r="B20" s="16"/>
      <c r="C20" s="16"/>
      <c r="D20" s="16"/>
      <c r="E20" s="16"/>
      <c r="F20" s="16"/>
      <c r="G20" s="16"/>
      <c r="H20" s="16"/>
      <c r="I20" s="16"/>
      <c r="J20" s="16"/>
      <c r="K20" s="16"/>
      <c r="L20" s="16"/>
      <c r="M20" s="16"/>
      <c r="N20" s="16"/>
      <c r="O20" s="16"/>
      <c r="P20" s="16"/>
      <c r="Q20" s="16"/>
      <c r="R20" s="16"/>
      <c r="S20" s="16"/>
    </row>
    <row r="21" spans="1:19" x14ac:dyDescent="0.25">
      <c r="A21" s="16"/>
      <c r="B21" s="16"/>
      <c r="C21" s="16"/>
      <c r="D21" s="16"/>
      <c r="E21" s="16"/>
      <c r="F21" s="16"/>
      <c r="G21" s="16"/>
      <c r="H21" s="16"/>
      <c r="I21" s="16"/>
      <c r="J21" s="16"/>
      <c r="K21" s="16"/>
      <c r="L21" s="16"/>
      <c r="M21" s="16"/>
      <c r="N21" s="16"/>
      <c r="O21" s="16"/>
      <c r="P21" s="16"/>
      <c r="Q21" s="16"/>
      <c r="R21" s="16"/>
      <c r="S21" s="16"/>
    </row>
    <row r="22" spans="1:19" x14ac:dyDescent="0.25">
      <c r="A22" s="16"/>
      <c r="B22" s="16"/>
      <c r="C22" s="16"/>
      <c r="D22" s="16"/>
      <c r="E22" s="16"/>
      <c r="F22" s="16"/>
      <c r="G22" s="16"/>
      <c r="H22" s="16"/>
      <c r="I22" s="16"/>
      <c r="J22" s="16"/>
      <c r="K22" s="16"/>
      <c r="L22" s="16"/>
      <c r="M22" s="16"/>
      <c r="N22" s="16"/>
      <c r="O22" s="16"/>
      <c r="P22" s="16"/>
      <c r="Q22" s="16"/>
      <c r="R22" s="16"/>
      <c r="S22" s="16"/>
    </row>
    <row r="23" spans="1:19" x14ac:dyDescent="0.25">
      <c r="A23" s="16"/>
      <c r="B23" s="16"/>
      <c r="C23" s="16"/>
      <c r="D23" s="16"/>
      <c r="E23" s="16"/>
      <c r="F23" s="16"/>
      <c r="G23" s="16"/>
      <c r="H23" s="16"/>
      <c r="I23" s="16"/>
      <c r="J23" s="16"/>
      <c r="K23" s="16"/>
      <c r="L23" s="16"/>
      <c r="M23" s="16"/>
      <c r="N23" s="16"/>
      <c r="O23" s="16"/>
      <c r="P23" s="16"/>
      <c r="Q23" s="16"/>
      <c r="R23" s="16"/>
      <c r="S23" s="16"/>
    </row>
    <row r="24" spans="1:19" x14ac:dyDescent="0.25">
      <c r="A24" s="16"/>
      <c r="B24" s="16"/>
      <c r="C24" s="16"/>
      <c r="D24" s="16"/>
      <c r="E24" s="16"/>
      <c r="F24" s="16"/>
      <c r="G24" s="16"/>
      <c r="H24" s="16"/>
      <c r="I24" s="16"/>
      <c r="J24" s="16"/>
      <c r="K24" s="16"/>
      <c r="L24" s="16"/>
      <c r="M24" s="16"/>
      <c r="N24" s="16"/>
      <c r="O24" s="16"/>
      <c r="P24" s="16"/>
      <c r="Q24" s="16"/>
      <c r="R24" s="16"/>
      <c r="S24" s="16"/>
    </row>
    <row r="25" spans="1:19" x14ac:dyDescent="0.25">
      <c r="A25" s="16"/>
      <c r="B25" s="16"/>
      <c r="C25" s="16"/>
      <c r="D25" s="16"/>
      <c r="E25" s="16"/>
      <c r="F25" s="16"/>
      <c r="G25" s="16"/>
      <c r="H25" s="16"/>
      <c r="I25" s="16"/>
      <c r="J25" s="16"/>
      <c r="K25" s="16"/>
      <c r="L25" s="16"/>
      <c r="M25" s="16"/>
      <c r="N25" s="16"/>
      <c r="O25" s="16"/>
      <c r="P25" s="16"/>
      <c r="Q25" s="16"/>
      <c r="R25" s="16"/>
      <c r="S25" s="16"/>
    </row>
    <row r="26" spans="1:19" x14ac:dyDescent="0.25">
      <c r="A26" s="16"/>
      <c r="B26" s="16"/>
      <c r="C26" s="16"/>
      <c r="D26" s="16"/>
      <c r="E26" s="16"/>
      <c r="F26" s="16"/>
      <c r="G26" s="16"/>
      <c r="H26" s="16"/>
      <c r="I26" s="16"/>
      <c r="J26" s="16"/>
      <c r="K26" s="16"/>
      <c r="L26" s="16"/>
      <c r="M26" s="16"/>
      <c r="N26" s="16"/>
      <c r="O26" s="16"/>
      <c r="P26" s="16"/>
      <c r="Q26" s="16"/>
      <c r="R26" s="16"/>
      <c r="S26" s="16"/>
    </row>
    <row r="27" spans="1:19" x14ac:dyDescent="0.25">
      <c r="A27" s="16"/>
      <c r="B27" s="16"/>
      <c r="C27" s="16"/>
      <c r="D27" s="16"/>
      <c r="E27" s="16"/>
      <c r="F27" s="16"/>
      <c r="G27" s="16"/>
      <c r="H27" s="16"/>
      <c r="I27" s="16"/>
      <c r="J27" s="16"/>
      <c r="K27" s="16"/>
      <c r="L27" s="16"/>
      <c r="M27" s="16"/>
      <c r="N27" s="16"/>
      <c r="O27" s="16"/>
      <c r="P27" s="16"/>
      <c r="Q27" s="16"/>
      <c r="R27" s="16"/>
      <c r="S27" s="16"/>
    </row>
    <row r="28" spans="1:19" x14ac:dyDescent="0.25">
      <c r="A28" s="16"/>
      <c r="B28" s="16"/>
      <c r="C28" s="16"/>
      <c r="D28" s="16"/>
      <c r="E28" s="16"/>
      <c r="F28" s="16"/>
      <c r="G28" s="16"/>
      <c r="H28" s="16"/>
      <c r="I28" s="16"/>
      <c r="J28" s="16"/>
      <c r="K28" s="16"/>
      <c r="L28" s="16"/>
      <c r="M28" s="16"/>
      <c r="N28" s="16"/>
      <c r="O28" s="16"/>
      <c r="P28" s="16"/>
      <c r="Q28" s="16"/>
      <c r="R28" s="16"/>
      <c r="S28" s="16"/>
    </row>
    <row r="29" spans="1:19" x14ac:dyDescent="0.25">
      <c r="A29" s="16"/>
      <c r="B29" s="16"/>
      <c r="C29" s="16"/>
      <c r="D29" s="16"/>
      <c r="E29" s="16"/>
      <c r="F29" s="16"/>
      <c r="G29" s="16"/>
      <c r="H29" s="16"/>
      <c r="I29" s="16"/>
      <c r="J29" s="16"/>
      <c r="K29" s="16"/>
      <c r="L29" s="16"/>
      <c r="M29" s="16"/>
      <c r="N29" s="16"/>
      <c r="O29" s="16"/>
      <c r="P29" s="16"/>
      <c r="Q29" s="16"/>
      <c r="R29" s="16"/>
      <c r="S29" s="16"/>
    </row>
    <row r="30" spans="1:19" x14ac:dyDescent="0.25">
      <c r="A30" s="16"/>
      <c r="B30" s="16"/>
      <c r="C30" s="16"/>
      <c r="D30" s="16"/>
      <c r="E30" s="16"/>
      <c r="F30" s="16"/>
      <c r="G30" s="16"/>
      <c r="H30" s="16"/>
      <c r="I30" s="16"/>
      <c r="J30" s="16"/>
      <c r="K30" s="16"/>
      <c r="L30" s="16"/>
      <c r="M30" s="16"/>
      <c r="N30" s="16"/>
      <c r="O30" s="16"/>
      <c r="P30" s="16"/>
      <c r="Q30" s="16"/>
      <c r="R30" s="16"/>
      <c r="S30" s="16"/>
    </row>
    <row r="31" spans="1:19" x14ac:dyDescent="0.25">
      <c r="A31" s="16"/>
      <c r="B31" s="16"/>
      <c r="C31" s="16"/>
      <c r="D31" s="16"/>
      <c r="E31" s="16"/>
      <c r="F31" s="16"/>
      <c r="G31" s="16"/>
      <c r="H31" s="16"/>
      <c r="I31" s="16"/>
      <c r="J31" s="16"/>
      <c r="K31" s="16"/>
      <c r="L31" s="16"/>
      <c r="M31" s="16"/>
      <c r="N31" s="16"/>
      <c r="O31" s="16"/>
      <c r="P31" s="16"/>
      <c r="Q31" s="16"/>
      <c r="R31" s="16"/>
      <c r="S31" s="16"/>
    </row>
    <row r="32" spans="1:19" x14ac:dyDescent="0.25">
      <c r="A32" s="16"/>
      <c r="B32" s="16"/>
      <c r="C32" s="16"/>
      <c r="D32" s="16"/>
      <c r="E32" s="16"/>
      <c r="F32" s="16"/>
      <c r="G32" s="16"/>
      <c r="H32" s="16"/>
      <c r="I32" s="16"/>
      <c r="J32" s="16"/>
      <c r="K32" s="16"/>
      <c r="L32" s="16"/>
      <c r="M32" s="16"/>
      <c r="N32" s="16"/>
      <c r="O32" s="16"/>
      <c r="P32" s="16"/>
      <c r="Q32" s="16"/>
      <c r="R32" s="16"/>
      <c r="S32" s="16"/>
    </row>
    <row r="33" spans="1:19" x14ac:dyDescent="0.25">
      <c r="A33" s="16"/>
      <c r="B33" s="16"/>
      <c r="C33" s="16"/>
      <c r="D33" s="16"/>
      <c r="E33" s="16"/>
      <c r="F33" s="16"/>
      <c r="G33" s="16"/>
      <c r="H33" s="16"/>
      <c r="I33" s="16"/>
      <c r="J33" s="16"/>
      <c r="K33" s="16"/>
      <c r="L33" s="16"/>
      <c r="M33" s="16"/>
      <c r="N33" s="16"/>
      <c r="O33" s="16"/>
      <c r="P33" s="16"/>
      <c r="Q33" s="16"/>
      <c r="R33" s="16"/>
      <c r="S33" s="16"/>
    </row>
    <row r="34" spans="1:19" x14ac:dyDescent="0.25">
      <c r="A34" s="16"/>
      <c r="B34" s="16"/>
      <c r="C34" s="16"/>
      <c r="D34" s="16"/>
      <c r="E34" s="16"/>
      <c r="F34" s="16"/>
      <c r="G34" s="16"/>
      <c r="H34" s="16"/>
      <c r="I34" s="16"/>
      <c r="J34" s="16"/>
      <c r="K34" s="16"/>
      <c r="L34" s="16"/>
      <c r="M34" s="16"/>
      <c r="N34" s="16"/>
      <c r="O34" s="16"/>
      <c r="P34" s="16"/>
      <c r="Q34" s="16"/>
      <c r="R34" s="16"/>
      <c r="S34" s="16"/>
    </row>
    <row r="35" spans="1:19" x14ac:dyDescent="0.25">
      <c r="A35" s="16"/>
      <c r="B35" s="16"/>
      <c r="C35" s="16"/>
      <c r="D35" s="16"/>
      <c r="E35" s="16"/>
      <c r="F35" s="16"/>
      <c r="G35" s="16"/>
      <c r="H35" s="16"/>
      <c r="I35" s="16"/>
      <c r="J35" s="16"/>
      <c r="K35" s="16"/>
      <c r="L35" s="16"/>
      <c r="M35" s="16"/>
      <c r="N35" s="16"/>
      <c r="O35" s="16"/>
      <c r="P35" s="16"/>
      <c r="Q35" s="16"/>
      <c r="R35" s="16"/>
      <c r="S35" s="16"/>
    </row>
    <row r="36" spans="1:19" x14ac:dyDescent="0.25">
      <c r="A36" s="16"/>
      <c r="B36" s="16"/>
      <c r="C36" s="16"/>
      <c r="D36" s="16"/>
      <c r="E36" s="16"/>
      <c r="F36" s="16"/>
      <c r="G36" s="16"/>
      <c r="H36" s="16"/>
      <c r="I36" s="16"/>
      <c r="J36" s="16"/>
      <c r="K36" s="16"/>
      <c r="L36" s="16"/>
      <c r="M36" s="16"/>
      <c r="N36" s="16"/>
      <c r="O36" s="16"/>
      <c r="P36" s="16"/>
      <c r="Q36" s="16"/>
      <c r="R36" s="16"/>
      <c r="S36" s="16"/>
    </row>
    <row r="37" spans="1:19" x14ac:dyDescent="0.25">
      <c r="A37" s="16"/>
      <c r="B37" s="16"/>
      <c r="C37" s="16"/>
      <c r="D37" s="16"/>
      <c r="E37" s="16"/>
      <c r="F37" s="16"/>
      <c r="G37" s="16"/>
      <c r="H37" s="16"/>
      <c r="I37" s="16"/>
      <c r="J37" s="16"/>
      <c r="K37" s="16"/>
      <c r="L37" s="16"/>
      <c r="M37" s="16"/>
      <c r="N37" s="16"/>
      <c r="O37" s="16"/>
      <c r="P37" s="16"/>
      <c r="Q37" s="16"/>
      <c r="R37" s="16"/>
      <c r="S37" s="16"/>
    </row>
    <row r="38" spans="1:19" x14ac:dyDescent="0.25">
      <c r="A38" s="16"/>
      <c r="B38" s="16"/>
      <c r="C38" s="16"/>
      <c r="D38" s="16"/>
      <c r="E38" s="16"/>
      <c r="F38" s="16"/>
      <c r="G38" s="16"/>
      <c r="H38" s="16"/>
      <c r="I38" s="16"/>
      <c r="J38" s="16"/>
      <c r="K38" s="16"/>
      <c r="L38" s="16"/>
      <c r="M38" s="16"/>
      <c r="N38" s="16"/>
      <c r="O38" s="16"/>
      <c r="P38" s="16"/>
      <c r="Q38" s="16"/>
      <c r="R38" s="16"/>
      <c r="S38" s="16"/>
    </row>
    <row r="39" spans="1:19" x14ac:dyDescent="0.25">
      <c r="A39" s="16"/>
      <c r="B39" s="16"/>
      <c r="C39" s="16"/>
      <c r="D39" s="16"/>
      <c r="E39" s="16"/>
      <c r="F39" s="16"/>
      <c r="G39" s="16"/>
      <c r="H39" s="16"/>
      <c r="I39" s="16"/>
      <c r="J39" s="16"/>
      <c r="K39" s="16"/>
      <c r="L39" s="16"/>
      <c r="M39" s="16"/>
      <c r="N39" s="16"/>
      <c r="O39" s="16"/>
      <c r="P39" s="16"/>
      <c r="Q39" s="16"/>
      <c r="R39" s="16"/>
      <c r="S39" s="16"/>
    </row>
    <row r="40" spans="1:19" x14ac:dyDescent="0.25">
      <c r="A40" s="16"/>
      <c r="B40" s="16"/>
      <c r="C40" s="16"/>
      <c r="D40" s="16"/>
      <c r="E40" s="16"/>
      <c r="F40" s="16"/>
      <c r="G40" s="16"/>
      <c r="H40" s="16"/>
      <c r="I40" s="16"/>
      <c r="J40" s="16"/>
      <c r="K40" s="16"/>
      <c r="L40" s="16"/>
      <c r="M40" s="16"/>
      <c r="N40" s="16"/>
      <c r="O40" s="16"/>
      <c r="P40" s="16"/>
      <c r="Q40" s="16"/>
      <c r="R40" s="16"/>
      <c r="S40" s="16"/>
    </row>
    <row r="41" spans="1:19" x14ac:dyDescent="0.25">
      <c r="A41" s="16"/>
      <c r="B41" s="16"/>
      <c r="C41" s="16"/>
      <c r="D41" s="16"/>
      <c r="E41" s="16"/>
      <c r="F41" s="16"/>
      <c r="G41" s="16"/>
      <c r="H41" s="16"/>
      <c r="I41" s="16"/>
      <c r="J41" s="16"/>
      <c r="K41" s="16"/>
      <c r="L41" s="16"/>
      <c r="M41" s="16"/>
      <c r="N41" s="16"/>
      <c r="O41" s="16"/>
      <c r="P41" s="16"/>
      <c r="Q41" s="16"/>
      <c r="R41" s="16"/>
      <c r="S41" s="16"/>
    </row>
    <row r="42" spans="1:19" x14ac:dyDescent="0.25">
      <c r="A42" s="16"/>
      <c r="B42" s="16"/>
      <c r="C42" s="16"/>
      <c r="D42" s="16"/>
      <c r="E42" s="16"/>
      <c r="F42" s="16"/>
      <c r="G42" s="16"/>
      <c r="H42" s="16"/>
      <c r="I42" s="16"/>
      <c r="J42" s="16"/>
      <c r="K42" s="16"/>
      <c r="L42" s="16"/>
      <c r="M42" s="16"/>
      <c r="N42" s="16"/>
      <c r="O42" s="16"/>
      <c r="P42" s="16"/>
      <c r="Q42" s="16"/>
      <c r="R42" s="16"/>
      <c r="S42" s="16"/>
    </row>
    <row r="43" spans="1:19" x14ac:dyDescent="0.25">
      <c r="A43" s="16"/>
      <c r="B43" s="16"/>
      <c r="C43" s="16"/>
      <c r="D43" s="16"/>
      <c r="E43" s="16"/>
      <c r="F43" s="16"/>
      <c r="G43" s="16"/>
      <c r="H43" s="16"/>
      <c r="I43" s="16"/>
      <c r="J43" s="16"/>
      <c r="K43" s="16"/>
      <c r="L43" s="16"/>
      <c r="M43" s="16"/>
      <c r="N43" s="16"/>
      <c r="O43" s="16"/>
      <c r="P43" s="16"/>
      <c r="Q43" s="16"/>
      <c r="R43" s="16"/>
      <c r="S43" s="16"/>
    </row>
    <row r="44" spans="1:19" x14ac:dyDescent="0.25">
      <c r="A44" s="16"/>
      <c r="B44" s="16"/>
      <c r="C44" s="16"/>
      <c r="D44" s="16"/>
      <c r="E44" s="16"/>
      <c r="F44" s="16"/>
      <c r="G44" s="16"/>
      <c r="H44" s="16"/>
      <c r="I44" s="16"/>
      <c r="J44" s="16"/>
      <c r="K44" s="16"/>
      <c r="L44" s="16"/>
      <c r="M44" s="16"/>
      <c r="N44" s="16"/>
      <c r="O44" s="16"/>
      <c r="P44" s="16"/>
      <c r="Q44" s="16"/>
      <c r="R44" s="16"/>
      <c r="S44" s="16"/>
    </row>
    <row r="45" spans="1:19" x14ac:dyDescent="0.25">
      <c r="A45" s="16"/>
      <c r="B45" s="16"/>
      <c r="C45" s="16"/>
      <c r="D45" s="16"/>
      <c r="E45" s="16"/>
      <c r="F45" s="16"/>
      <c r="G45" s="16"/>
      <c r="H45" s="16"/>
      <c r="I45" s="16"/>
      <c r="J45" s="16"/>
      <c r="K45" s="16"/>
      <c r="L45" s="16"/>
      <c r="M45" s="16"/>
      <c r="N45" s="16"/>
      <c r="O45" s="16"/>
      <c r="P45" s="16"/>
      <c r="Q45" s="16"/>
      <c r="R45" s="16"/>
      <c r="S45" s="16"/>
    </row>
    <row r="46" spans="1:19" x14ac:dyDescent="0.25">
      <c r="C46" s="16"/>
      <c r="D46" s="16"/>
      <c r="E46" s="16"/>
      <c r="F46" s="16"/>
      <c r="G46" s="16"/>
      <c r="H46" s="16"/>
      <c r="I46" s="16"/>
      <c r="J46" s="16"/>
      <c r="K46" s="16"/>
      <c r="L46" s="16"/>
      <c r="M46" s="16"/>
      <c r="N46" s="16"/>
      <c r="O46" s="16"/>
      <c r="P46" s="16"/>
      <c r="Q46" s="16"/>
      <c r="R46" s="16"/>
      <c r="S46" s="16"/>
    </row>
  </sheetData>
  <sheetProtection algorithmName="SHA-512" hashValue="nnT+DahjnUHQUvYO2hHyYdHukSwN8e8F5hI01UMIAYzfLOQeYQFmBDeqBHSmeblv/FxRY7BqDHtDQLZPA++LVA==" saltValue="w0AkJkEJxv8wa0GdnmtLtw==" spinCount="100000" sheet="1" objects="1" scenarios="1"/>
  <mergeCells count="19">
    <mergeCell ref="C18:D18"/>
    <mergeCell ref="A12:B13"/>
    <mergeCell ref="E3:E4"/>
    <mergeCell ref="F3:F4"/>
    <mergeCell ref="E5:E6"/>
    <mergeCell ref="F5:F6"/>
    <mergeCell ref="E7:E8"/>
    <mergeCell ref="F7:F8"/>
    <mergeCell ref="G7:G8"/>
    <mergeCell ref="H7:H8"/>
    <mergeCell ref="A1:B2"/>
    <mergeCell ref="G5:G6"/>
    <mergeCell ref="H5:H6"/>
    <mergeCell ref="E1:E2"/>
    <mergeCell ref="F1:F2"/>
    <mergeCell ref="G1:G2"/>
    <mergeCell ref="H1:H2"/>
    <mergeCell ref="G3:G4"/>
    <mergeCell ref="H3:H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83FA1-22D6-4715-809F-D72AEB0838E5}">
  <sheetPr codeName="Sheet1"/>
  <dimension ref="A1:CP61"/>
  <sheetViews>
    <sheetView tabSelected="1" zoomScaleNormal="100" workbookViewId="0">
      <pane xSplit="6" topLeftCell="G1" activePane="topRight" state="frozen"/>
      <selection pane="topRight" activeCell="F5" sqref="F5:F8"/>
    </sheetView>
  </sheetViews>
  <sheetFormatPr defaultColWidth="9.140625" defaultRowHeight="15" outlineLevelCol="1" x14ac:dyDescent="0.25"/>
  <cols>
    <col min="1" max="1" width="28.42578125" style="12" customWidth="1"/>
    <col min="2" max="2" width="25.28515625" style="12" customWidth="1"/>
    <col min="3" max="3" width="29.5703125" style="12" customWidth="1"/>
    <col min="4" max="4" width="25.140625" style="12" customWidth="1"/>
    <col min="5" max="5" width="12.85546875" style="12" customWidth="1"/>
    <col min="6" max="6" width="10.85546875" style="12" customWidth="1"/>
    <col min="7" max="9" width="11" style="12" customWidth="1" outlineLevel="1"/>
    <col min="10" max="10" width="10.5703125" style="14" bestFit="1" customWidth="1" outlineLevel="1"/>
    <col min="11" max="42" width="10.5703125" style="12" hidden="1" customWidth="1" outlineLevel="1"/>
    <col min="43" max="43" width="10.5703125" style="12" customWidth="1"/>
    <col min="44" max="44" width="9.85546875" style="12" customWidth="1"/>
    <col min="45" max="45" width="13.140625" style="12" customWidth="1"/>
    <col min="46" max="46" width="11.85546875" style="12" customWidth="1"/>
    <col min="47" max="47" width="14.5703125" style="12" customWidth="1"/>
    <col min="48" max="48" width="12" style="12" customWidth="1"/>
    <col min="49" max="49" width="12.85546875" style="12" customWidth="1"/>
    <col min="50" max="50" width="13" style="12" customWidth="1"/>
    <col min="51" max="51" width="9.42578125" style="12" customWidth="1"/>
    <col min="52" max="52" width="11.5703125" style="12" customWidth="1"/>
    <col min="53" max="53" width="11.7109375" style="12" customWidth="1"/>
    <col min="54" max="54" width="13.42578125" style="12" customWidth="1"/>
    <col min="55" max="60" width="11.140625" style="12" customWidth="1"/>
    <col min="61" max="64" width="11.140625" style="12" hidden="1" customWidth="1"/>
    <col min="65" max="70" width="9.5703125" style="12" customWidth="1"/>
    <col min="71" max="71" width="9.140625" style="12" customWidth="1"/>
    <col min="72" max="16384" width="9.140625" style="12"/>
  </cols>
  <sheetData>
    <row r="1" spans="1:94" s="8" customFormat="1" ht="28.15" customHeight="1" x14ac:dyDescent="0.25">
      <c r="A1" s="91" t="s">
        <v>21</v>
      </c>
      <c r="B1" s="262" t="s">
        <v>976</v>
      </c>
      <c r="C1" s="92" t="s">
        <v>23</v>
      </c>
      <c r="D1" s="52">
        <v>46013</v>
      </c>
      <c r="E1" s="16"/>
      <c r="F1" s="121" t="s">
        <v>24</v>
      </c>
      <c r="G1" s="93"/>
      <c r="H1" s="94" t="s">
        <v>25</v>
      </c>
      <c r="I1" s="95"/>
      <c r="J1" s="28"/>
      <c r="K1" s="95"/>
      <c r="L1" s="96"/>
      <c r="M1" s="95"/>
      <c r="N1" s="95"/>
      <c r="O1" s="95"/>
      <c r="P1" s="95"/>
      <c r="Q1" s="95"/>
      <c r="R1" s="95"/>
      <c r="S1" s="95"/>
      <c r="T1" s="95"/>
      <c r="U1" s="95"/>
      <c r="V1" s="95"/>
      <c r="W1" s="95"/>
      <c r="X1" s="95"/>
      <c r="Y1" s="95"/>
      <c r="Z1" s="95"/>
      <c r="AA1" s="95"/>
      <c r="AB1" s="95"/>
      <c r="AC1" s="95"/>
      <c r="AD1" s="95"/>
      <c r="AE1" s="95"/>
      <c r="AF1" s="95"/>
      <c r="AG1" s="95"/>
      <c r="AH1" s="95"/>
      <c r="AI1" s="95"/>
      <c r="AJ1" s="95"/>
      <c r="AK1" s="95"/>
      <c r="AL1" s="95"/>
      <c r="AM1" s="95"/>
      <c r="AN1" s="95"/>
      <c r="AO1" s="95"/>
      <c r="AP1" s="95"/>
      <c r="AQ1" s="95"/>
      <c r="AR1" s="95"/>
      <c r="AS1" s="95"/>
      <c r="AT1" s="95"/>
      <c r="AU1" s="95"/>
      <c r="AV1" s="95"/>
      <c r="AW1" s="95"/>
      <c r="AX1" s="95"/>
      <c r="AY1" s="97"/>
      <c r="AZ1" s="96"/>
      <c r="BA1" s="96"/>
      <c r="BB1" s="96"/>
      <c r="BC1" s="96"/>
      <c r="BD1" s="96"/>
      <c r="BE1" s="96"/>
      <c r="BF1" s="96"/>
      <c r="BG1" s="96"/>
      <c r="BH1" s="96"/>
      <c r="BI1" s="96"/>
      <c r="BJ1" s="96"/>
      <c r="BK1" s="96"/>
      <c r="BL1" s="96"/>
      <c r="BM1" s="96"/>
      <c r="BN1" s="96"/>
      <c r="BO1" s="96"/>
      <c r="BP1" s="96"/>
      <c r="BQ1" s="96"/>
      <c r="BR1" s="96"/>
      <c r="BS1" s="96"/>
      <c r="BT1" s="96"/>
      <c r="BU1" s="96"/>
      <c r="BV1" s="96"/>
      <c r="BW1" s="96"/>
      <c r="BX1" s="96"/>
      <c r="BY1" s="96"/>
      <c r="BZ1" s="96"/>
      <c r="CA1" s="96"/>
      <c r="CB1" s="96"/>
      <c r="CC1" s="96"/>
      <c r="CD1" s="96"/>
      <c r="CE1" s="96"/>
      <c r="CF1" s="96"/>
      <c r="CG1" s="96"/>
      <c r="CH1" s="96"/>
      <c r="CI1" s="96"/>
      <c r="CJ1" s="96"/>
      <c r="CK1" s="96"/>
      <c r="CL1" s="96"/>
      <c r="CM1" s="96"/>
      <c r="CN1" s="96"/>
      <c r="CO1" s="96"/>
      <c r="CP1" s="96"/>
    </row>
    <row r="2" spans="1:94" s="8" customFormat="1" ht="28.15" customHeight="1" x14ac:dyDescent="0.25">
      <c r="A2" s="91" t="s">
        <v>26</v>
      </c>
      <c r="B2" s="262" t="s">
        <v>877</v>
      </c>
      <c r="C2" s="92" t="s">
        <v>12</v>
      </c>
      <c r="D2" s="263" t="s">
        <v>1699</v>
      </c>
      <c r="E2" s="73" t="s">
        <v>27</v>
      </c>
      <c r="F2" s="134" t="s">
        <v>28</v>
      </c>
      <c r="G2" s="95"/>
      <c r="H2" s="95"/>
      <c r="I2" s="95"/>
      <c r="J2" s="28"/>
      <c r="K2" s="95"/>
      <c r="L2" s="95"/>
      <c r="M2" s="95"/>
      <c r="N2" s="95"/>
      <c r="O2" s="95"/>
      <c r="P2" s="95"/>
      <c r="Q2" s="95"/>
      <c r="R2" s="95"/>
      <c r="S2" s="95"/>
      <c r="T2" s="95"/>
      <c r="U2" s="95"/>
      <c r="V2" s="95"/>
      <c r="W2" s="95"/>
      <c r="X2" s="95"/>
      <c r="Y2" s="95"/>
      <c r="Z2" s="95"/>
      <c r="AA2" s="95"/>
      <c r="AB2" s="95"/>
      <c r="AC2" s="95"/>
      <c r="AD2" s="95"/>
      <c r="AE2" s="95"/>
      <c r="AF2" s="95"/>
      <c r="AG2" s="95"/>
      <c r="AH2" s="95"/>
      <c r="AI2" s="95"/>
      <c r="AJ2" s="95"/>
      <c r="AK2" s="95"/>
      <c r="AL2" s="95"/>
      <c r="AM2" s="95"/>
      <c r="AN2" s="95"/>
      <c r="AO2" s="95"/>
      <c r="AP2" s="95"/>
      <c r="AQ2" s="95"/>
      <c r="AR2" s="95"/>
      <c r="AS2" s="95"/>
      <c r="AT2" s="95"/>
      <c r="AU2" s="95"/>
      <c r="AV2" s="95"/>
      <c r="AW2" s="95"/>
      <c r="AX2" s="95"/>
      <c r="AY2" s="97"/>
      <c r="AZ2" s="96"/>
      <c r="BA2" s="96"/>
      <c r="BB2" s="96"/>
      <c r="BC2" s="96"/>
      <c r="BD2" s="96"/>
      <c r="BE2" s="96"/>
      <c r="BF2" s="96"/>
      <c r="BG2" s="96"/>
      <c r="BH2" s="96"/>
      <c r="BI2" s="96"/>
      <c r="BJ2" s="96"/>
      <c r="BK2" s="96"/>
      <c r="BL2" s="96"/>
      <c r="BM2" s="96"/>
      <c r="BN2" s="96"/>
      <c r="BO2" s="96"/>
      <c r="BP2" s="96"/>
      <c r="BQ2" s="96"/>
      <c r="BR2" s="96"/>
      <c r="BS2" s="96"/>
      <c r="BT2" s="96"/>
      <c r="BU2" s="96"/>
      <c r="BV2" s="96"/>
      <c r="BW2" s="96"/>
      <c r="BX2" s="96"/>
      <c r="BY2" s="96"/>
      <c r="BZ2" s="96"/>
      <c r="CA2" s="96"/>
      <c r="CB2" s="96"/>
      <c r="CC2" s="96"/>
      <c r="CD2" s="96"/>
      <c r="CE2" s="96"/>
      <c r="CF2" s="96"/>
      <c r="CG2" s="96"/>
      <c r="CH2" s="96"/>
      <c r="CI2" s="96"/>
      <c r="CJ2" s="96"/>
      <c r="CK2" s="96"/>
      <c r="CL2" s="96"/>
      <c r="CM2" s="96"/>
      <c r="CN2" s="96"/>
      <c r="CO2" s="96"/>
      <c r="CP2" s="96"/>
    </row>
    <row r="3" spans="1:94" s="8" customFormat="1" ht="28.15" customHeight="1" x14ac:dyDescent="0.25">
      <c r="A3" s="91" t="s">
        <v>29</v>
      </c>
      <c r="B3" s="262" t="s">
        <v>796</v>
      </c>
      <c r="C3" s="98" t="s">
        <v>30</v>
      </c>
      <c r="D3" s="263" t="s">
        <v>1700</v>
      </c>
      <c r="E3" s="73" t="s">
        <v>31</v>
      </c>
      <c r="F3" s="134" t="s">
        <v>32</v>
      </c>
      <c r="G3" s="95"/>
      <c r="H3" s="95"/>
      <c r="I3" s="95"/>
      <c r="J3" s="28"/>
      <c r="K3" s="95"/>
      <c r="L3" s="99"/>
      <c r="M3" s="99"/>
      <c r="N3" s="99"/>
      <c r="O3" s="99"/>
      <c r="P3" s="99"/>
      <c r="Q3" s="99"/>
      <c r="R3" s="99"/>
      <c r="S3" s="99"/>
      <c r="T3" s="99"/>
      <c r="U3" s="99"/>
      <c r="V3" s="99"/>
      <c r="W3" s="99"/>
      <c r="X3" s="99"/>
      <c r="Y3" s="99"/>
      <c r="Z3" s="99"/>
      <c r="AA3" s="99"/>
      <c r="AB3" s="99"/>
      <c r="AC3" s="99"/>
      <c r="AD3" s="99"/>
      <c r="AE3" s="99"/>
      <c r="AF3" s="99"/>
      <c r="AG3" s="99"/>
      <c r="AH3" s="99"/>
      <c r="AI3" s="99"/>
      <c r="AJ3" s="99"/>
      <c r="AK3" s="99"/>
      <c r="AL3" s="99"/>
      <c r="AM3" s="99"/>
      <c r="AN3" s="99"/>
      <c r="AO3" s="99"/>
      <c r="AP3" s="99"/>
      <c r="AQ3" s="99"/>
      <c r="AR3" s="99"/>
      <c r="AS3" s="99"/>
      <c r="AT3" s="99"/>
      <c r="AU3" s="95"/>
      <c r="AV3" s="95"/>
      <c r="AW3" s="95"/>
      <c r="AX3" s="95"/>
      <c r="AY3" s="97"/>
      <c r="AZ3" s="96"/>
      <c r="BA3" s="96"/>
      <c r="BB3" s="96"/>
      <c r="BC3" s="96"/>
      <c r="BD3" s="96"/>
      <c r="BE3" s="96"/>
      <c r="BF3" s="96"/>
      <c r="BG3" s="96"/>
      <c r="BH3" s="96"/>
      <c r="BI3" s="96"/>
      <c r="BJ3" s="96"/>
      <c r="BK3" s="96"/>
      <c r="BL3" s="96"/>
      <c r="BM3" s="96"/>
      <c r="BN3" s="96"/>
      <c r="BO3" s="96"/>
      <c r="BP3" s="96"/>
      <c r="BQ3" s="96"/>
      <c r="BR3" s="96"/>
      <c r="BS3" s="96"/>
      <c r="BT3" s="96"/>
      <c r="BU3" s="96"/>
      <c r="BV3" s="96"/>
      <c r="BW3" s="96"/>
      <c r="BX3" s="96"/>
      <c r="BY3" s="96"/>
      <c r="BZ3" s="96"/>
      <c r="CA3" s="96"/>
      <c r="CB3" s="96"/>
      <c r="CC3" s="96"/>
      <c r="CD3" s="96"/>
      <c r="CE3" s="96"/>
      <c r="CF3" s="96"/>
      <c r="CG3" s="96"/>
      <c r="CH3" s="96"/>
      <c r="CI3" s="96"/>
      <c r="CJ3" s="96"/>
      <c r="CK3" s="96"/>
      <c r="CL3" s="96"/>
      <c r="CM3" s="96"/>
      <c r="CN3" s="96"/>
      <c r="CO3" s="96"/>
      <c r="CP3" s="96"/>
    </row>
    <row r="4" spans="1:94" s="8" customFormat="1" ht="28.15" customHeight="1" thickBot="1" x14ac:dyDescent="0.3">
      <c r="A4" s="91" t="s">
        <v>33</v>
      </c>
      <c r="B4" s="135" t="s">
        <v>34</v>
      </c>
      <c r="C4" s="98" t="s">
        <v>35</v>
      </c>
      <c r="D4" s="263" t="s">
        <v>412</v>
      </c>
      <c r="E4" s="73" t="s">
        <v>36</v>
      </c>
      <c r="F4" s="52">
        <v>46055</v>
      </c>
      <c r="G4" s="432" t="s">
        <v>37</v>
      </c>
      <c r="H4" s="433"/>
      <c r="I4" s="433"/>
      <c r="J4" s="433"/>
      <c r="K4" s="95"/>
      <c r="L4" s="99"/>
      <c r="M4" s="99"/>
      <c r="N4" s="99"/>
      <c r="O4" s="99"/>
      <c r="P4" s="99"/>
      <c r="Q4" s="99"/>
      <c r="R4" s="99"/>
      <c r="S4" s="99"/>
      <c r="T4" s="99"/>
      <c r="U4" s="99"/>
      <c r="V4" s="99"/>
      <c r="W4" s="99"/>
      <c r="X4" s="99"/>
      <c r="Y4" s="99"/>
      <c r="Z4" s="99"/>
      <c r="AA4" s="99"/>
      <c r="AB4" s="99"/>
      <c r="AC4" s="99"/>
      <c r="AD4" s="99"/>
      <c r="AE4" s="99"/>
      <c r="AF4" s="99"/>
      <c r="AG4" s="99"/>
      <c r="AH4" s="99"/>
      <c r="AI4" s="99"/>
      <c r="AJ4" s="99"/>
      <c r="AK4" s="99"/>
      <c r="AL4" s="99"/>
      <c r="AM4" s="99"/>
      <c r="AN4" s="99"/>
      <c r="AO4" s="99"/>
      <c r="AP4" s="99"/>
      <c r="AQ4" s="73" t="s">
        <v>38</v>
      </c>
      <c r="AR4" s="257" t="s">
        <v>190</v>
      </c>
      <c r="AS4" s="416" t="s">
        <v>39</v>
      </c>
      <c r="AT4" s="416"/>
      <c r="AU4" s="416"/>
      <c r="AV4" s="95"/>
      <c r="AW4" s="95"/>
      <c r="AX4" s="95"/>
      <c r="AY4" s="97"/>
      <c r="AZ4" s="96"/>
      <c r="BA4" s="96"/>
      <c r="BB4" s="96"/>
      <c r="BC4" s="96"/>
      <c r="BD4" s="96"/>
      <c r="BE4" s="96"/>
      <c r="BF4" s="96"/>
      <c r="BG4" s="96"/>
      <c r="BH4" s="96"/>
      <c r="BI4" s="96"/>
      <c r="BJ4" s="96"/>
      <c r="BK4" s="96"/>
      <c r="BL4" s="96"/>
      <c r="BM4" s="96"/>
      <c r="BN4" s="96"/>
      <c r="BO4" s="96"/>
      <c r="BP4" s="96"/>
      <c r="BQ4" s="96"/>
      <c r="BR4" s="96"/>
      <c r="BS4" s="96"/>
      <c r="BT4" s="96"/>
      <c r="BU4" s="96"/>
      <c r="BV4" s="96"/>
      <c r="BW4" s="96"/>
      <c r="BX4" s="96"/>
      <c r="BY4" s="96"/>
      <c r="BZ4" s="96"/>
      <c r="CA4" s="96"/>
      <c r="CB4" s="96"/>
      <c r="CC4" s="96"/>
      <c r="CD4" s="96"/>
      <c r="CE4" s="96"/>
      <c r="CF4" s="96"/>
      <c r="CG4" s="96"/>
      <c r="CH4" s="96"/>
      <c r="CI4" s="96"/>
      <c r="CJ4" s="96"/>
      <c r="CK4" s="96"/>
      <c r="CL4" s="96"/>
      <c r="CM4" s="96"/>
      <c r="CN4" s="96"/>
      <c r="CO4" s="96"/>
      <c r="CP4" s="96"/>
    </row>
    <row r="5" spans="1:94" s="10" customFormat="1" ht="30" customHeight="1" x14ac:dyDescent="0.25">
      <c r="A5" s="417" t="s">
        <v>40</v>
      </c>
      <c r="B5" s="410" t="s">
        <v>41</v>
      </c>
      <c r="C5" s="410" t="s">
        <v>42</v>
      </c>
      <c r="D5" s="417" t="s">
        <v>43</v>
      </c>
      <c r="E5" s="408" t="s">
        <v>44</v>
      </c>
      <c r="F5" s="429" t="s">
        <v>45</v>
      </c>
      <c r="G5" s="102">
        <f>EOMONTH(F4,0)</f>
        <v>46081</v>
      </c>
      <c r="H5" s="102">
        <f t="shared" ref="H5:AP5" si="0">EOMONTH(G5,1)</f>
        <v>46112</v>
      </c>
      <c r="I5" s="102">
        <f t="shared" si="0"/>
        <v>46142</v>
      </c>
      <c r="J5" s="102">
        <f t="shared" si="0"/>
        <v>46173</v>
      </c>
      <c r="K5" s="102">
        <f t="shared" si="0"/>
        <v>46203</v>
      </c>
      <c r="L5" s="102">
        <f t="shared" si="0"/>
        <v>46234</v>
      </c>
      <c r="M5" s="102">
        <f t="shared" si="0"/>
        <v>46265</v>
      </c>
      <c r="N5" s="102">
        <f t="shared" si="0"/>
        <v>46295</v>
      </c>
      <c r="O5" s="102">
        <f t="shared" si="0"/>
        <v>46326</v>
      </c>
      <c r="P5" s="102">
        <f t="shared" si="0"/>
        <v>46356</v>
      </c>
      <c r="Q5" s="102">
        <f t="shared" si="0"/>
        <v>46387</v>
      </c>
      <c r="R5" s="102">
        <f t="shared" si="0"/>
        <v>46418</v>
      </c>
      <c r="S5" s="102">
        <f t="shared" si="0"/>
        <v>46446</v>
      </c>
      <c r="T5" s="102">
        <f t="shared" si="0"/>
        <v>46477</v>
      </c>
      <c r="U5" s="102">
        <f t="shared" si="0"/>
        <v>46507</v>
      </c>
      <c r="V5" s="102">
        <f t="shared" si="0"/>
        <v>46538</v>
      </c>
      <c r="W5" s="102">
        <f t="shared" si="0"/>
        <v>46568</v>
      </c>
      <c r="X5" s="102">
        <f t="shared" si="0"/>
        <v>46599</v>
      </c>
      <c r="Y5" s="102">
        <f t="shared" si="0"/>
        <v>46630</v>
      </c>
      <c r="Z5" s="102">
        <f t="shared" si="0"/>
        <v>46660</v>
      </c>
      <c r="AA5" s="102">
        <f t="shared" si="0"/>
        <v>46691</v>
      </c>
      <c r="AB5" s="102">
        <f t="shared" si="0"/>
        <v>46721</v>
      </c>
      <c r="AC5" s="102">
        <f t="shared" si="0"/>
        <v>46752</v>
      </c>
      <c r="AD5" s="102">
        <f t="shared" si="0"/>
        <v>46783</v>
      </c>
      <c r="AE5" s="102">
        <f t="shared" si="0"/>
        <v>46812</v>
      </c>
      <c r="AF5" s="102">
        <f t="shared" si="0"/>
        <v>46843</v>
      </c>
      <c r="AG5" s="102">
        <f t="shared" si="0"/>
        <v>46873</v>
      </c>
      <c r="AH5" s="102">
        <f t="shared" si="0"/>
        <v>46904</v>
      </c>
      <c r="AI5" s="102">
        <f t="shared" si="0"/>
        <v>46934</v>
      </c>
      <c r="AJ5" s="102">
        <f t="shared" si="0"/>
        <v>46965</v>
      </c>
      <c r="AK5" s="102">
        <f t="shared" si="0"/>
        <v>46996</v>
      </c>
      <c r="AL5" s="102">
        <f t="shared" si="0"/>
        <v>47026</v>
      </c>
      <c r="AM5" s="102">
        <f t="shared" si="0"/>
        <v>47057</v>
      </c>
      <c r="AN5" s="102">
        <f t="shared" si="0"/>
        <v>47087</v>
      </c>
      <c r="AO5" s="102">
        <f t="shared" si="0"/>
        <v>47118</v>
      </c>
      <c r="AP5" s="102">
        <f t="shared" si="0"/>
        <v>47149</v>
      </c>
      <c r="AQ5" s="423" t="s">
        <v>46</v>
      </c>
      <c r="AR5" s="420" t="s">
        <v>47</v>
      </c>
      <c r="AS5" s="408" t="s">
        <v>48</v>
      </c>
      <c r="AT5" s="399" t="s">
        <v>49</v>
      </c>
      <c r="AU5" s="408" t="s">
        <v>50</v>
      </c>
      <c r="AV5" s="402" t="s">
        <v>51</v>
      </c>
      <c r="AW5" s="408" t="s">
        <v>52</v>
      </c>
      <c r="AX5" s="413" t="s">
        <v>53</v>
      </c>
      <c r="AY5" s="103"/>
      <c r="AZ5" s="104"/>
      <c r="BA5" s="104"/>
      <c r="BB5" s="104"/>
      <c r="BC5" s="104"/>
      <c r="BD5" s="104"/>
      <c r="BE5" s="104"/>
      <c r="BF5" s="104"/>
      <c r="BG5" s="104"/>
      <c r="BH5" s="104"/>
      <c r="BI5" s="405" t="s">
        <v>54</v>
      </c>
      <c r="BJ5" s="405" t="s">
        <v>55</v>
      </c>
      <c r="BK5" s="398" t="s">
        <v>56</v>
      </c>
      <c r="BL5" s="398" t="s">
        <v>53</v>
      </c>
      <c r="BM5" s="104"/>
      <c r="BN5" s="104"/>
      <c r="BO5" s="104"/>
      <c r="BP5" s="104"/>
      <c r="BQ5" s="104"/>
      <c r="BR5" s="104"/>
      <c r="BS5" s="104"/>
      <c r="BT5" s="104"/>
      <c r="BU5" s="104"/>
      <c r="BV5" s="104"/>
      <c r="BW5" s="104"/>
      <c r="BX5" s="104"/>
      <c r="BY5" s="104"/>
      <c r="BZ5" s="104"/>
      <c r="CA5" s="104"/>
      <c r="CB5" s="104"/>
      <c r="CC5" s="104"/>
      <c r="CD5" s="104"/>
      <c r="CE5" s="104"/>
      <c r="CF5" s="104"/>
      <c r="CG5" s="104"/>
      <c r="CH5" s="104"/>
      <c r="CI5" s="104"/>
      <c r="CJ5" s="104"/>
      <c r="CK5" s="104"/>
      <c r="CL5" s="104"/>
      <c r="CM5" s="104"/>
      <c r="CN5" s="104"/>
      <c r="CO5" s="104"/>
      <c r="CP5" s="104"/>
    </row>
    <row r="6" spans="1:94" s="10" customFormat="1" x14ac:dyDescent="0.25">
      <c r="A6" s="411"/>
      <c r="B6" s="411"/>
      <c r="C6" s="418"/>
      <c r="D6" s="411"/>
      <c r="E6" s="398"/>
      <c r="F6" s="430"/>
      <c r="G6" s="73" t="s">
        <v>57</v>
      </c>
      <c r="H6" s="73" t="s">
        <v>58</v>
      </c>
      <c r="I6" s="73" t="s">
        <v>59</v>
      </c>
      <c r="J6" s="73" t="s">
        <v>60</v>
      </c>
      <c r="K6" s="73" t="s">
        <v>61</v>
      </c>
      <c r="L6" s="73" t="s">
        <v>62</v>
      </c>
      <c r="M6" s="73" t="s">
        <v>63</v>
      </c>
      <c r="N6" s="73" t="s">
        <v>64</v>
      </c>
      <c r="O6" s="73" t="s">
        <v>65</v>
      </c>
      <c r="P6" s="73" t="s">
        <v>66</v>
      </c>
      <c r="Q6" s="73" t="s">
        <v>67</v>
      </c>
      <c r="R6" s="73" t="s">
        <v>68</v>
      </c>
      <c r="S6" s="73" t="s">
        <v>69</v>
      </c>
      <c r="T6" s="73" t="s">
        <v>70</v>
      </c>
      <c r="U6" s="73" t="s">
        <v>71</v>
      </c>
      <c r="V6" s="73" t="s">
        <v>72</v>
      </c>
      <c r="W6" s="73" t="s">
        <v>73</v>
      </c>
      <c r="X6" s="73" t="s">
        <v>74</v>
      </c>
      <c r="Y6" s="73" t="s">
        <v>75</v>
      </c>
      <c r="Z6" s="73" t="s">
        <v>76</v>
      </c>
      <c r="AA6" s="73" t="s">
        <v>77</v>
      </c>
      <c r="AB6" s="73" t="s">
        <v>78</v>
      </c>
      <c r="AC6" s="73" t="s">
        <v>79</v>
      </c>
      <c r="AD6" s="73" t="s">
        <v>80</v>
      </c>
      <c r="AE6" s="73" t="s">
        <v>81</v>
      </c>
      <c r="AF6" s="73" t="s">
        <v>82</v>
      </c>
      <c r="AG6" s="73" t="s">
        <v>83</v>
      </c>
      <c r="AH6" s="73" t="s">
        <v>84</v>
      </c>
      <c r="AI6" s="73" t="s">
        <v>85</v>
      </c>
      <c r="AJ6" s="73" t="s">
        <v>86</v>
      </c>
      <c r="AK6" s="73" t="s">
        <v>87</v>
      </c>
      <c r="AL6" s="73" t="s">
        <v>88</v>
      </c>
      <c r="AM6" s="73" t="s">
        <v>89</v>
      </c>
      <c r="AN6" s="73" t="s">
        <v>90</v>
      </c>
      <c r="AO6" s="73" t="s">
        <v>91</v>
      </c>
      <c r="AP6" s="73" t="s">
        <v>92</v>
      </c>
      <c r="AQ6" s="424"/>
      <c r="AR6" s="421"/>
      <c r="AS6" s="398"/>
      <c r="AT6" s="400"/>
      <c r="AU6" s="398"/>
      <c r="AV6" s="403"/>
      <c r="AW6" s="398"/>
      <c r="AX6" s="414"/>
      <c r="AY6" s="103"/>
      <c r="AZ6" s="104"/>
      <c r="BA6" s="104"/>
      <c r="BB6" s="104"/>
      <c r="BC6" s="104"/>
      <c r="BD6" s="104"/>
      <c r="BE6" s="104"/>
      <c r="BF6" s="104"/>
      <c r="BG6" s="104"/>
      <c r="BH6" s="104"/>
      <c r="BI6" s="406"/>
      <c r="BJ6" s="406"/>
      <c r="BK6" s="398"/>
      <c r="BL6" s="398"/>
      <c r="BM6" s="104"/>
      <c r="BN6" s="104"/>
      <c r="BO6" s="104"/>
      <c r="BP6" s="104"/>
      <c r="BQ6" s="104"/>
      <c r="BR6" s="104"/>
      <c r="BS6" s="104"/>
      <c r="BT6" s="104"/>
      <c r="BU6" s="104"/>
      <c r="BV6" s="104"/>
      <c r="BW6" s="104"/>
      <c r="BX6" s="104"/>
      <c r="BY6" s="104"/>
      <c r="BZ6" s="104"/>
      <c r="CA6" s="104"/>
      <c r="CB6" s="104"/>
      <c r="CC6" s="104"/>
      <c r="CD6" s="104"/>
      <c r="CE6" s="104"/>
      <c r="CF6" s="104"/>
      <c r="CG6" s="104"/>
      <c r="CH6" s="104"/>
      <c r="CI6" s="104"/>
      <c r="CJ6" s="104"/>
      <c r="CK6" s="104"/>
      <c r="CL6" s="104"/>
      <c r="CM6" s="104"/>
      <c r="CN6" s="104"/>
      <c r="CO6" s="104"/>
      <c r="CP6" s="104"/>
    </row>
    <row r="7" spans="1:94" s="10" customFormat="1" x14ac:dyDescent="0.25">
      <c r="A7" s="411"/>
      <c r="B7" s="411"/>
      <c r="C7" s="418"/>
      <c r="D7" s="411"/>
      <c r="E7" s="398"/>
      <c r="F7" s="430"/>
      <c r="G7" s="203">
        <f>_xlfn.XLOOKUP(G$5,Picklist!$T$2:$T$61,Picklist!$U$2:$U$61)</f>
        <v>152</v>
      </c>
      <c r="H7" s="203">
        <f>_xlfn.XLOOKUP(H$5,Picklist!$T$2:$T$61,Picklist!$U$2:$U$61)</f>
        <v>176</v>
      </c>
      <c r="I7" s="203">
        <f>_xlfn.XLOOKUP(I$5,Picklist!$T$2:$T$61,Picklist!$U$2:$U$61)</f>
        <v>176</v>
      </c>
      <c r="J7" s="203">
        <f>_xlfn.XLOOKUP(J$5,Picklist!$T$2:$T$61,Picklist!$U$2:$U$61)</f>
        <v>160</v>
      </c>
      <c r="K7" s="203">
        <f>_xlfn.XLOOKUP(K$5,Picklist!$T$2:$T$61,Picklist!$U$2:$U$61)</f>
        <v>176</v>
      </c>
      <c r="L7" s="203">
        <f>_xlfn.XLOOKUP(L$5,Picklist!$T$2:$T$61,Picklist!$U$2:$U$61)</f>
        <v>176</v>
      </c>
      <c r="M7" s="203">
        <f>_xlfn.XLOOKUP(M$5,Picklist!$T$2:$T$61,Picklist!$U$2:$U$61)</f>
        <v>168</v>
      </c>
      <c r="N7" s="203">
        <f>_xlfn.XLOOKUP(N$5,Picklist!$T$2:$T$61,Picklist!$U$2:$U$61)</f>
        <v>168</v>
      </c>
      <c r="O7" s="203">
        <f>_xlfn.XLOOKUP(O$5,Picklist!$T$2:$T$61,Picklist!$U$2:$U$61)</f>
        <v>176</v>
      </c>
      <c r="P7" s="203">
        <f>_xlfn.XLOOKUP(P$5,Picklist!$T$2:$T$61,Picklist!$U$2:$U$61)</f>
        <v>152</v>
      </c>
      <c r="Q7" s="203">
        <f>_xlfn.XLOOKUP(Q$5,Picklist!$T$2:$T$61,Picklist!$U$2:$U$61)</f>
        <v>176</v>
      </c>
      <c r="R7" s="203">
        <f>_xlfn.XLOOKUP(R$5,Picklist!$T$2:$T$61,Picklist!$U$2:$U$61)</f>
        <v>160</v>
      </c>
      <c r="S7" s="203">
        <f>_xlfn.XLOOKUP(S$5,Picklist!$T$2:$T$61,Picklist!$U$2:$U$61)</f>
        <v>152</v>
      </c>
      <c r="T7" s="203">
        <f>_xlfn.XLOOKUP(T$5,Picklist!$T$2:$T$61,Picklist!$U$2:$U$61)</f>
        <v>184</v>
      </c>
      <c r="U7" s="203">
        <f>_xlfn.XLOOKUP(U$5,Picklist!$T$2:$T$61,Picklist!$U$2:$U$61)</f>
        <v>176</v>
      </c>
      <c r="V7" s="203">
        <f>_xlfn.XLOOKUP(V$5,Picklist!$T$2:$T$61,Picklist!$U$2:$U$61)</f>
        <v>160</v>
      </c>
      <c r="W7" s="203">
        <f>_xlfn.XLOOKUP(W$5,Picklist!$T$2:$T$61,Picklist!$U$2:$U$61)</f>
        <v>176</v>
      </c>
      <c r="X7" s="203">
        <f>_xlfn.XLOOKUP(X$5,Picklist!$T$2:$T$61,Picklist!$U$2:$U$61)</f>
        <v>168</v>
      </c>
      <c r="Y7" s="203">
        <f>_xlfn.XLOOKUP(Y$5,Picklist!$T$2:$T$61,Picklist!$U$2:$U$61)</f>
        <v>176</v>
      </c>
      <c r="Z7" s="203">
        <f>_xlfn.XLOOKUP(Z$5,Picklist!$T$2:$T$61,Picklist!$U$2:$U$61)</f>
        <v>168</v>
      </c>
      <c r="AA7" s="203">
        <f>_xlfn.XLOOKUP(AA$5,Picklist!$T$2:$T$61,Picklist!$U$2:$U$61)</f>
        <v>176</v>
      </c>
      <c r="AB7" s="203">
        <f>_xlfn.XLOOKUP(AB$5,Picklist!$T$2:$T$61,Picklist!$U$2:$U$61)</f>
        <v>160</v>
      </c>
      <c r="AC7" s="203">
        <f>_xlfn.XLOOKUP(AC$5,Picklist!$T$2:$T$61,Picklist!$U$2:$U$61)</f>
        <v>176</v>
      </c>
      <c r="AD7" s="203">
        <f>_xlfn.XLOOKUP(AD$5,Picklist!$T$2:$T$61,Picklist!$U$2:$U$61)</f>
        <v>168</v>
      </c>
      <c r="AE7" s="203">
        <f>_xlfn.XLOOKUP(AE$5,Picklist!$T$2:$T$61,Picklist!$U$2:$U$61)</f>
        <v>160</v>
      </c>
      <c r="AF7" s="203">
        <f>_xlfn.XLOOKUP(AF$5,Picklist!$T$2:$T$61,Picklist!$U$2:$U$61)</f>
        <v>184</v>
      </c>
      <c r="AG7" s="203">
        <f>_xlfn.XLOOKUP(AG$5,Picklist!$T$2:$T$61,Picklist!$U$2:$U$61)</f>
        <v>160</v>
      </c>
      <c r="AH7" s="203">
        <f>_xlfn.XLOOKUP(AH$5,Picklist!$T$2:$T$61,Picklist!$U$2:$U$61)</f>
        <v>176</v>
      </c>
      <c r="AI7" s="203">
        <f>_xlfn.XLOOKUP(AI$5,Picklist!$T$2:$T$61,Picklist!$U$2:$U$61)</f>
        <v>176</v>
      </c>
      <c r="AJ7" s="203">
        <f>_xlfn.XLOOKUP(AJ$5,Picklist!$T$2:$T$61,Picklist!$U$2:$U$61)</f>
        <v>160</v>
      </c>
      <c r="AK7" s="203">
        <f>_xlfn.XLOOKUP(AK$5,Picklist!$T$2:$T$61,Picklist!$U$2:$U$61)</f>
        <v>184</v>
      </c>
      <c r="AL7" s="203">
        <f>_xlfn.XLOOKUP(AL$5,Picklist!$T$2:$T$61,Picklist!$U$2:$U$61)</f>
        <v>160</v>
      </c>
      <c r="AM7" s="203">
        <f>_xlfn.XLOOKUP(AM$5,Picklist!$T$2:$T$61,Picklist!$U$2:$U$61)</f>
        <v>176</v>
      </c>
      <c r="AN7" s="203">
        <f>_xlfn.XLOOKUP(AN$5,Picklist!$T$2:$T$61,Picklist!$U$2:$U$61)</f>
        <v>160</v>
      </c>
      <c r="AO7" s="203">
        <f>_xlfn.XLOOKUP(AO$5,Picklist!$T$2:$T$61,Picklist!$U$2:$U$61)</f>
        <v>160</v>
      </c>
      <c r="AP7" s="203">
        <f>_xlfn.XLOOKUP(AP$5,Picklist!$T$2:$T$61,Picklist!$U$2:$U$61)</f>
        <v>176</v>
      </c>
      <c r="AQ7" s="424"/>
      <c r="AR7" s="421"/>
      <c r="AS7" s="398"/>
      <c r="AT7" s="400"/>
      <c r="AU7" s="398"/>
      <c r="AV7" s="403"/>
      <c r="AW7" s="398"/>
      <c r="AX7" s="414"/>
      <c r="AY7" s="103"/>
      <c r="AZ7" s="104"/>
      <c r="BA7" s="104"/>
      <c r="BB7" s="104"/>
      <c r="BC7" s="104"/>
      <c r="BD7" s="104"/>
      <c r="BE7" s="104"/>
      <c r="BF7" s="104"/>
      <c r="BG7" s="104"/>
      <c r="BH7" s="104"/>
      <c r="BI7" s="406"/>
      <c r="BJ7" s="406"/>
      <c r="BK7" s="398"/>
      <c r="BL7" s="398"/>
      <c r="BM7" s="104"/>
      <c r="BN7" s="104"/>
      <c r="BO7" s="104"/>
      <c r="BP7" s="104"/>
      <c r="BQ7" s="104"/>
      <c r="BR7" s="104"/>
      <c r="BS7" s="104"/>
      <c r="BT7" s="104"/>
      <c r="BU7" s="104"/>
      <c r="BV7" s="104"/>
      <c r="BW7" s="104"/>
      <c r="BX7" s="104"/>
      <c r="BY7" s="104"/>
      <c r="BZ7" s="104"/>
      <c r="CA7" s="104"/>
      <c r="CB7" s="104"/>
      <c r="CC7" s="104"/>
      <c r="CD7" s="104"/>
      <c r="CE7" s="104"/>
      <c r="CF7" s="104"/>
      <c r="CG7" s="104"/>
      <c r="CH7" s="104"/>
      <c r="CI7" s="104"/>
      <c r="CJ7" s="104"/>
      <c r="CK7" s="104"/>
      <c r="CL7" s="104"/>
      <c r="CM7" s="104"/>
      <c r="CN7" s="104"/>
      <c r="CO7" s="104"/>
      <c r="CP7" s="104"/>
    </row>
    <row r="8" spans="1:94" s="8" customFormat="1" ht="15.75" thickBot="1" x14ac:dyDescent="0.3">
      <c r="A8" s="412"/>
      <c r="B8" s="412"/>
      <c r="C8" s="419"/>
      <c r="D8" s="412"/>
      <c r="E8" s="409"/>
      <c r="F8" s="431"/>
      <c r="G8" s="274" t="s">
        <v>93</v>
      </c>
      <c r="H8" s="274" t="s">
        <v>93</v>
      </c>
      <c r="I8" s="274" t="s">
        <v>93</v>
      </c>
      <c r="J8" s="274" t="s">
        <v>93</v>
      </c>
      <c r="K8" s="275" t="s">
        <v>93</v>
      </c>
      <c r="L8" s="275" t="s">
        <v>93</v>
      </c>
      <c r="M8" s="275" t="s">
        <v>93</v>
      </c>
      <c r="N8" s="275" t="s">
        <v>93</v>
      </c>
      <c r="O8" s="275" t="s">
        <v>93</v>
      </c>
      <c r="P8" s="275" t="s">
        <v>93</v>
      </c>
      <c r="Q8" s="275" t="s">
        <v>93</v>
      </c>
      <c r="R8" s="275" t="s">
        <v>93</v>
      </c>
      <c r="S8" s="275" t="s">
        <v>93</v>
      </c>
      <c r="T8" s="275" t="s">
        <v>93</v>
      </c>
      <c r="U8" s="275" t="s">
        <v>93</v>
      </c>
      <c r="V8" s="275" t="s">
        <v>93</v>
      </c>
      <c r="W8" s="275" t="s">
        <v>93</v>
      </c>
      <c r="X8" s="275" t="s">
        <v>93</v>
      </c>
      <c r="Y8" s="275" t="s">
        <v>93</v>
      </c>
      <c r="Z8" s="275" t="s">
        <v>93</v>
      </c>
      <c r="AA8" s="275" t="s">
        <v>93</v>
      </c>
      <c r="AB8" s="275" t="s">
        <v>93</v>
      </c>
      <c r="AC8" s="275" t="s">
        <v>93</v>
      </c>
      <c r="AD8" s="275" t="s">
        <v>93</v>
      </c>
      <c r="AE8" s="275" t="s">
        <v>93</v>
      </c>
      <c r="AF8" s="275" t="s">
        <v>93</v>
      </c>
      <c r="AG8" s="275" t="s">
        <v>93</v>
      </c>
      <c r="AH8" s="275" t="s">
        <v>93</v>
      </c>
      <c r="AI8" s="275" t="s">
        <v>93</v>
      </c>
      <c r="AJ8" s="275" t="s">
        <v>93</v>
      </c>
      <c r="AK8" s="275" t="s">
        <v>93</v>
      </c>
      <c r="AL8" s="275" t="s">
        <v>93</v>
      </c>
      <c r="AM8" s="275" t="s">
        <v>93</v>
      </c>
      <c r="AN8" s="275" t="s">
        <v>93</v>
      </c>
      <c r="AO8" s="275" t="s">
        <v>93</v>
      </c>
      <c r="AP8" s="275" t="s">
        <v>93</v>
      </c>
      <c r="AQ8" s="424"/>
      <c r="AR8" s="422"/>
      <c r="AS8" s="409"/>
      <c r="AT8" s="401"/>
      <c r="AU8" s="409"/>
      <c r="AV8" s="404"/>
      <c r="AW8" s="409"/>
      <c r="AX8" s="415"/>
      <c r="AY8" s="103"/>
      <c r="AZ8" s="104"/>
      <c r="BA8" s="104"/>
      <c r="BB8" s="104"/>
      <c r="BC8" s="104"/>
      <c r="BD8" s="104"/>
      <c r="BE8" s="104"/>
      <c r="BF8" s="104"/>
      <c r="BG8" s="104"/>
      <c r="BH8" s="104"/>
      <c r="BI8" s="407"/>
      <c r="BJ8" s="407"/>
      <c r="BK8" s="398"/>
      <c r="BL8" s="398"/>
      <c r="BM8" s="96"/>
      <c r="BN8" s="96"/>
      <c r="BO8" s="96"/>
      <c r="BP8" s="96"/>
      <c r="BQ8" s="96"/>
      <c r="BR8" s="96"/>
      <c r="BS8" s="96"/>
      <c r="BT8" s="96"/>
      <c r="BU8" s="96"/>
      <c r="BV8" s="96"/>
      <c r="BW8" s="96"/>
      <c r="BX8" s="96"/>
      <c r="BY8" s="96"/>
      <c r="BZ8" s="96"/>
      <c r="CA8" s="96"/>
      <c r="CB8" s="96"/>
      <c r="CC8" s="96"/>
      <c r="CD8" s="96"/>
      <c r="CE8" s="96"/>
      <c r="CF8" s="96"/>
      <c r="CG8" s="96"/>
      <c r="CH8" s="96"/>
      <c r="CI8" s="96"/>
      <c r="CJ8" s="96"/>
      <c r="CK8" s="96"/>
      <c r="CL8" s="96"/>
      <c r="CM8" s="96"/>
      <c r="CN8" s="96"/>
      <c r="CO8" s="96"/>
      <c r="CP8" s="96"/>
    </row>
    <row r="9" spans="1:94" s="11" customFormat="1" x14ac:dyDescent="0.25">
      <c r="A9" s="55" t="s">
        <v>94</v>
      </c>
      <c r="B9" s="54" t="s">
        <v>411</v>
      </c>
      <c r="C9" s="54" t="s">
        <v>411</v>
      </c>
      <c r="D9" s="56" t="s">
        <v>412</v>
      </c>
      <c r="E9" s="272" t="str" cm="1">
        <f t="array" ref="E9">IFERROR(INDEX(_xlfn.TEXTSPLIT(A9,"_"),3),"")</f>
        <v>USA</v>
      </c>
      <c r="F9" s="273">
        <f>_xlfn.XLOOKUP(_xlfn.CONCAT(A9,B9),Picklist!$O$3:$O$332,Picklist!$P$3:$P$332,"Choose Existing Role",0)</f>
        <v>275</v>
      </c>
      <c r="G9" s="254">
        <v>50</v>
      </c>
      <c r="H9" s="254">
        <v>80</v>
      </c>
      <c r="I9" s="254">
        <v>90</v>
      </c>
      <c r="J9" s="254">
        <v>90</v>
      </c>
      <c r="K9" s="254"/>
      <c r="L9" s="254"/>
      <c r="M9" s="254"/>
      <c r="N9" s="254"/>
      <c r="O9" s="254"/>
      <c r="P9" s="254"/>
      <c r="Q9" s="254"/>
      <c r="R9" s="254"/>
      <c r="S9" s="254"/>
      <c r="T9" s="254"/>
      <c r="U9" s="254"/>
      <c r="V9" s="254"/>
      <c r="W9" s="254"/>
      <c r="X9" s="254"/>
      <c r="Y9" s="254"/>
      <c r="Z9" s="254"/>
      <c r="AA9" s="254"/>
      <c r="AB9" s="254"/>
      <c r="AC9" s="254"/>
      <c r="AD9" s="254"/>
      <c r="AE9" s="254"/>
      <c r="AF9" s="254"/>
      <c r="AG9" s="254"/>
      <c r="AH9" s="254"/>
      <c r="AI9" s="254"/>
      <c r="AJ9" s="254"/>
      <c r="AK9" s="254"/>
      <c r="AL9" s="254"/>
      <c r="AM9" s="254"/>
      <c r="AN9" s="254"/>
      <c r="AO9" s="254"/>
      <c r="AP9" s="254"/>
      <c r="AQ9" s="59">
        <v>0.16363</v>
      </c>
      <c r="AR9" s="276">
        <f>SUM(G9:AP9)</f>
        <v>310</v>
      </c>
      <c r="AS9" s="277">
        <f t="shared" ref="AS9:AS21" si="1">IFERROR((F9*AR9),0)</f>
        <v>85250</v>
      </c>
      <c r="AT9" s="278">
        <f>ROUND((-AS9*AQ9),2)</f>
        <v>-13949.46</v>
      </c>
      <c r="AU9" s="279">
        <f t="shared" ref="AU9:AU43" si="2">AR9*AV9</f>
        <v>71300</v>
      </c>
      <c r="AV9" s="280">
        <f t="shared" ref="AV9:AV43" si="3">IFERROR(ROUND((F9*(1-AQ9)),2),0)</f>
        <v>230</v>
      </c>
      <c r="AW9" s="279">
        <f>IFERROR(IF($AR$4="Hourly Rate",0,ROUND((F9*(1-$AQ$45)),2)),0)</f>
        <v>0</v>
      </c>
      <c r="AX9" s="301">
        <f>BL9</f>
        <v>0.28260869565217389</v>
      </c>
      <c r="AY9" s="106"/>
      <c r="AZ9" s="107"/>
      <c r="BA9" s="107"/>
      <c r="BB9" s="107"/>
      <c r="BC9" s="107"/>
      <c r="BD9" s="107"/>
      <c r="BE9" s="107"/>
      <c r="BF9" s="107"/>
      <c r="BG9" s="107"/>
      <c r="BH9" s="107"/>
      <c r="BI9" s="264">
        <f>_xlfn.XLOOKUP((_xlfn.CONCAT(A9,B9)),Picklist!$O$3:$O$292,Picklist!$Q$3:$Q$292,"",0)</f>
        <v>165</v>
      </c>
      <c r="BJ9" s="265">
        <f t="shared" ref="BJ9:BJ43" si="4">IFERROR(AR9*BI9,0)</f>
        <v>51150</v>
      </c>
      <c r="BK9" s="265">
        <f t="shared" ref="BK9:BK43" si="5">(AU9*(1-$AQ$45))-BJ9</f>
        <v>20150</v>
      </c>
      <c r="BL9" s="303">
        <f t="shared" ref="BL9:BL43" si="6">IFERROR(((AU9*(1-$AQ$45))-BJ9)/(AU9*(1-$AQ$45)),0)</f>
        <v>0.28260869565217389</v>
      </c>
      <c r="BM9" s="108"/>
      <c r="BN9" s="108"/>
      <c r="BO9" s="108"/>
      <c r="BP9" s="108"/>
      <c r="BQ9" s="108"/>
      <c r="BR9" s="108"/>
      <c r="BS9" s="108"/>
      <c r="BT9" s="108"/>
      <c r="BU9" s="108"/>
      <c r="BV9" s="108"/>
      <c r="BW9" s="108"/>
      <c r="BX9" s="108"/>
      <c r="BY9" s="108"/>
      <c r="BZ9" s="108"/>
      <c r="CA9" s="108"/>
      <c r="CB9" s="108"/>
      <c r="CC9" s="108"/>
      <c r="CD9" s="108"/>
      <c r="CE9" s="108"/>
      <c r="CF9" s="108"/>
      <c r="CG9" s="108"/>
      <c r="CH9" s="108"/>
      <c r="CI9" s="108"/>
      <c r="CJ9" s="108"/>
      <c r="CK9" s="108"/>
      <c r="CL9" s="108"/>
      <c r="CM9" s="108"/>
      <c r="CN9" s="108"/>
      <c r="CO9" s="108"/>
      <c r="CP9" s="108"/>
    </row>
    <row r="10" spans="1:94" x14ac:dyDescent="0.25">
      <c r="A10" s="55"/>
      <c r="B10" s="54"/>
      <c r="C10" s="57"/>
      <c r="D10" s="56"/>
      <c r="E10" s="47" t="str" cm="1">
        <f t="array" ref="E10">IFERROR(INDEX(_xlfn.TEXTSPLIT(A10,"_"),3),"")</f>
        <v/>
      </c>
      <c r="F10" s="32">
        <f>_xlfn.XLOOKUP(_xlfn.CONCAT(A10,B10),Picklist!$O$3:$O$332,Picklist!$P$3:$P$332,"Choose Existing Role",0)</f>
        <v>0</v>
      </c>
      <c r="G10" s="58"/>
      <c r="H10" s="58"/>
      <c r="I10" s="58"/>
      <c r="J10" s="58"/>
      <c r="K10" s="58"/>
      <c r="L10" s="58"/>
      <c r="M10" s="58"/>
      <c r="N10" s="58"/>
      <c r="O10" s="58"/>
      <c r="P10" s="58"/>
      <c r="Q10" s="58"/>
      <c r="R10" s="58"/>
      <c r="S10" s="58"/>
      <c r="T10" s="58"/>
      <c r="U10" s="58"/>
      <c r="V10" s="58"/>
      <c r="W10" s="58"/>
      <c r="X10" s="58"/>
      <c r="Y10" s="58"/>
      <c r="Z10" s="58"/>
      <c r="AA10" s="58"/>
      <c r="AB10" s="60"/>
      <c r="AC10" s="60"/>
      <c r="AD10" s="60"/>
      <c r="AE10" s="60"/>
      <c r="AF10" s="60"/>
      <c r="AG10" s="60"/>
      <c r="AH10" s="60"/>
      <c r="AI10" s="60"/>
      <c r="AJ10" s="60"/>
      <c r="AK10" s="60"/>
      <c r="AL10" s="60"/>
      <c r="AM10" s="60"/>
      <c r="AN10" s="60"/>
      <c r="AO10" s="60"/>
      <c r="AP10" s="60"/>
      <c r="AQ10" s="59">
        <v>0</v>
      </c>
      <c r="AR10" s="127">
        <f t="shared" ref="AR10:AR43" si="7">SUM(G10:AP10)</f>
        <v>0</v>
      </c>
      <c r="AS10" s="128">
        <f t="shared" si="1"/>
        <v>0</v>
      </c>
      <c r="AT10" s="129">
        <f t="shared" ref="AT10:AT43" si="8">ROUND((-AS10*AQ10),2)</f>
        <v>0</v>
      </c>
      <c r="AU10" s="180">
        <f t="shared" si="2"/>
        <v>0</v>
      </c>
      <c r="AV10" s="271">
        <f t="shared" si="3"/>
        <v>0</v>
      </c>
      <c r="AW10" s="279">
        <f t="shared" ref="AW10:AW43" si="9">IFERROR(IF($AR$4="Hourly Rate",0,ROUND((F10*(1-$AQ$45)),2)),0)</f>
        <v>0</v>
      </c>
      <c r="AX10" s="302">
        <f>BL10</f>
        <v>0</v>
      </c>
      <c r="AY10" s="109"/>
      <c r="AZ10" s="110"/>
      <c r="BA10" s="110"/>
      <c r="BB10" s="110"/>
      <c r="BC10" s="110"/>
      <c r="BD10" s="110"/>
      <c r="BE10" s="110"/>
      <c r="BF10" s="110"/>
      <c r="BG10" s="110"/>
      <c r="BH10" s="110"/>
      <c r="BI10" s="264">
        <f>_xlfn.XLOOKUP((_xlfn.CONCAT(A10,B10)),Picklist!$O$3:$O$292,Picklist!$Q$3:$Q$292,"",0)</f>
        <v>0</v>
      </c>
      <c r="BJ10" s="265">
        <f t="shared" si="4"/>
        <v>0</v>
      </c>
      <c r="BK10" s="265">
        <f t="shared" si="5"/>
        <v>0</v>
      </c>
      <c r="BL10" s="303">
        <f t="shared" si="6"/>
        <v>0</v>
      </c>
      <c r="BM10" s="111"/>
      <c r="BN10" s="111"/>
      <c r="BO10" s="111"/>
      <c r="BP10" s="111"/>
      <c r="BQ10" s="111"/>
      <c r="BR10" s="111"/>
      <c r="BS10" s="111"/>
      <c r="BT10" s="111"/>
      <c r="BU10" s="111"/>
      <c r="BV10" s="111"/>
      <c r="BW10" s="111"/>
      <c r="BX10" s="111"/>
      <c r="BY10" s="111"/>
      <c r="BZ10" s="111"/>
      <c r="CA10" s="111"/>
      <c r="CB10" s="111"/>
      <c r="CC10" s="111"/>
      <c r="CD10" s="111"/>
      <c r="CE10" s="111"/>
      <c r="CF10" s="111"/>
      <c r="CG10" s="111"/>
      <c r="CH10" s="111"/>
      <c r="CI10" s="111"/>
      <c r="CJ10" s="111"/>
      <c r="CK10" s="111"/>
      <c r="CL10" s="111"/>
      <c r="CM10" s="111"/>
      <c r="CN10" s="111"/>
      <c r="CO10" s="111"/>
      <c r="CP10" s="111"/>
    </row>
    <row r="11" spans="1:94" ht="15" customHeight="1" x14ac:dyDescent="0.25">
      <c r="A11" s="55"/>
      <c r="B11" s="54"/>
      <c r="C11" s="57"/>
      <c r="D11" s="56"/>
      <c r="E11" s="47" t="str" cm="1">
        <f t="array" ref="E11">IFERROR(INDEX(_xlfn.TEXTSPLIT(A11,"_"),3),"")</f>
        <v/>
      </c>
      <c r="F11" s="32">
        <f>_xlfn.XLOOKUP(_xlfn.CONCAT(A11,B11),Picklist!$O$3:$O$332,Picklist!$P$3:$P$332,"Choose Existing Role",0)</f>
        <v>0</v>
      </c>
      <c r="G11" s="58"/>
      <c r="H11" s="58"/>
      <c r="I11" s="58"/>
      <c r="J11" s="58"/>
      <c r="K11" s="58"/>
      <c r="L11" s="58"/>
      <c r="M11" s="58"/>
      <c r="N11" s="58"/>
      <c r="O11" s="58"/>
      <c r="P11" s="58"/>
      <c r="Q11" s="58"/>
      <c r="R11" s="58"/>
      <c r="S11" s="58"/>
      <c r="T11" s="58"/>
      <c r="U11" s="58"/>
      <c r="V11" s="58"/>
      <c r="W11" s="58"/>
      <c r="X11" s="58"/>
      <c r="Y11" s="58"/>
      <c r="Z11" s="58"/>
      <c r="AA11" s="58"/>
      <c r="AB11" s="60"/>
      <c r="AC11" s="60"/>
      <c r="AD11" s="60"/>
      <c r="AE11" s="60"/>
      <c r="AF11" s="60"/>
      <c r="AG11" s="60"/>
      <c r="AH11" s="60"/>
      <c r="AI11" s="60"/>
      <c r="AJ11" s="60"/>
      <c r="AK11" s="60"/>
      <c r="AL11" s="60"/>
      <c r="AM11" s="60"/>
      <c r="AN11" s="60"/>
      <c r="AO11" s="60"/>
      <c r="AP11" s="60"/>
      <c r="AQ11" s="59">
        <v>0</v>
      </c>
      <c r="AR11" s="127">
        <f t="shared" si="7"/>
        <v>0</v>
      </c>
      <c r="AS11" s="128">
        <f t="shared" si="1"/>
        <v>0</v>
      </c>
      <c r="AT11" s="129">
        <f t="shared" si="8"/>
        <v>0</v>
      </c>
      <c r="AU11" s="180">
        <f t="shared" si="2"/>
        <v>0</v>
      </c>
      <c r="AV11" s="271">
        <f t="shared" si="3"/>
        <v>0</v>
      </c>
      <c r="AW11" s="279">
        <f t="shared" si="9"/>
        <v>0</v>
      </c>
      <c r="AX11" s="302">
        <f t="shared" ref="AX11:AX43" si="10">BL11</f>
        <v>0</v>
      </c>
      <c r="AY11" s="109"/>
      <c r="AZ11" s="110"/>
      <c r="BA11" s="110"/>
      <c r="BB11" s="110"/>
      <c r="BC11" s="110"/>
      <c r="BD11" s="110"/>
      <c r="BE11" s="110"/>
      <c r="BF11" s="110"/>
      <c r="BG11" s="110"/>
      <c r="BH11" s="110"/>
      <c r="BI11" s="264">
        <f>_xlfn.XLOOKUP((_xlfn.CONCAT(A11,B11)),Picklist!$O$3:$O$292,Picklist!$Q$3:$Q$292,"",0)</f>
        <v>0</v>
      </c>
      <c r="BJ11" s="265">
        <f t="shared" si="4"/>
        <v>0</v>
      </c>
      <c r="BK11" s="265">
        <f t="shared" si="5"/>
        <v>0</v>
      </c>
      <c r="BL11" s="303">
        <f t="shared" si="6"/>
        <v>0</v>
      </c>
      <c r="BM11" s="111"/>
      <c r="BN11" s="111"/>
      <c r="BO11" s="111"/>
      <c r="BP11" s="111"/>
      <c r="BQ11" s="111"/>
      <c r="BR11" s="111"/>
      <c r="BS11" s="111"/>
      <c r="BT11" s="111"/>
      <c r="BU11" s="111"/>
      <c r="BV11" s="111"/>
      <c r="BW11" s="111"/>
      <c r="BX11" s="111"/>
      <c r="BY11" s="111"/>
      <c r="BZ11" s="111"/>
      <c r="CA11" s="111"/>
      <c r="CB11" s="111"/>
      <c r="CC11" s="111"/>
      <c r="CD11" s="111"/>
      <c r="CE11" s="111"/>
      <c r="CF11" s="111"/>
      <c r="CG11" s="111"/>
      <c r="CH11" s="111"/>
      <c r="CI11" s="111"/>
      <c r="CJ11" s="111"/>
      <c r="CK11" s="111"/>
      <c r="CL11" s="111"/>
      <c r="CM11" s="111"/>
      <c r="CN11" s="111"/>
      <c r="CO11" s="111"/>
      <c r="CP11" s="111"/>
    </row>
    <row r="12" spans="1:94" ht="15" customHeight="1" x14ac:dyDescent="0.25">
      <c r="A12" s="55"/>
      <c r="B12" s="54"/>
      <c r="C12" s="57"/>
      <c r="D12" s="56"/>
      <c r="E12" s="47" t="str" cm="1">
        <f t="array" ref="E12">IFERROR(INDEX(_xlfn.TEXTSPLIT(A12,"_"),3),"")</f>
        <v/>
      </c>
      <c r="F12" s="32">
        <f>_xlfn.XLOOKUP(_xlfn.CONCAT(A12,B12),Picklist!$O$3:$O$332,Picklist!$P$3:$P$332,"Choose Existing Role",0)</f>
        <v>0</v>
      </c>
      <c r="G12" s="58"/>
      <c r="H12" s="58"/>
      <c r="I12" s="58"/>
      <c r="J12" s="58"/>
      <c r="K12" s="58"/>
      <c r="L12" s="58"/>
      <c r="M12" s="58"/>
      <c r="N12" s="58"/>
      <c r="O12" s="58"/>
      <c r="P12" s="58"/>
      <c r="Q12" s="58"/>
      <c r="R12" s="58"/>
      <c r="S12" s="58"/>
      <c r="T12" s="58"/>
      <c r="U12" s="58"/>
      <c r="V12" s="58"/>
      <c r="W12" s="58"/>
      <c r="X12" s="58"/>
      <c r="Y12" s="58"/>
      <c r="Z12" s="58"/>
      <c r="AA12" s="58"/>
      <c r="AB12" s="60"/>
      <c r="AC12" s="60"/>
      <c r="AD12" s="60"/>
      <c r="AE12" s="60"/>
      <c r="AF12" s="60"/>
      <c r="AG12" s="60"/>
      <c r="AH12" s="60"/>
      <c r="AI12" s="60"/>
      <c r="AJ12" s="60"/>
      <c r="AK12" s="60"/>
      <c r="AL12" s="60"/>
      <c r="AM12" s="60"/>
      <c r="AN12" s="60"/>
      <c r="AO12" s="60"/>
      <c r="AP12" s="60"/>
      <c r="AQ12" s="59">
        <v>0</v>
      </c>
      <c r="AR12" s="127">
        <f t="shared" si="7"/>
        <v>0</v>
      </c>
      <c r="AS12" s="128">
        <f t="shared" si="1"/>
        <v>0</v>
      </c>
      <c r="AT12" s="129">
        <f t="shared" si="8"/>
        <v>0</v>
      </c>
      <c r="AU12" s="180">
        <f t="shared" si="2"/>
        <v>0</v>
      </c>
      <c r="AV12" s="271">
        <f t="shared" si="3"/>
        <v>0</v>
      </c>
      <c r="AW12" s="279">
        <f t="shared" si="9"/>
        <v>0</v>
      </c>
      <c r="AX12" s="302">
        <f t="shared" si="10"/>
        <v>0</v>
      </c>
      <c r="AY12" s="109"/>
      <c r="AZ12" s="110"/>
      <c r="BA12" s="110"/>
      <c r="BB12" s="110"/>
      <c r="BC12" s="110"/>
      <c r="BD12" s="110"/>
      <c r="BE12" s="110"/>
      <c r="BF12" s="110"/>
      <c r="BG12" s="110"/>
      <c r="BH12" s="110"/>
      <c r="BI12" s="264">
        <f>_xlfn.XLOOKUP((_xlfn.CONCAT(A12,B12)),Picklist!$O$3:$O$292,Picklist!$Q$3:$Q$292,"",0)</f>
        <v>0</v>
      </c>
      <c r="BJ12" s="265">
        <f t="shared" si="4"/>
        <v>0</v>
      </c>
      <c r="BK12" s="265">
        <f t="shared" si="5"/>
        <v>0</v>
      </c>
      <c r="BL12" s="303">
        <f t="shared" si="6"/>
        <v>0</v>
      </c>
      <c r="BM12" s="111"/>
      <c r="BN12" s="111"/>
      <c r="BO12" s="111"/>
      <c r="BP12" s="111"/>
      <c r="BQ12" s="111"/>
      <c r="BR12" s="111"/>
      <c r="BS12" s="111"/>
      <c r="BT12" s="111"/>
      <c r="BU12" s="111"/>
      <c r="BV12" s="111"/>
      <c r="BW12" s="111"/>
      <c r="BX12" s="111"/>
      <c r="BY12" s="111"/>
      <c r="BZ12" s="111"/>
      <c r="CA12" s="111"/>
      <c r="CB12" s="111"/>
      <c r="CC12" s="111"/>
      <c r="CD12" s="111"/>
      <c r="CE12" s="111"/>
      <c r="CF12" s="111"/>
      <c r="CG12" s="111"/>
      <c r="CH12" s="111"/>
      <c r="CI12" s="111"/>
      <c r="CJ12" s="111"/>
      <c r="CK12" s="111"/>
      <c r="CL12" s="111"/>
      <c r="CM12" s="111"/>
      <c r="CN12" s="111"/>
      <c r="CO12" s="111"/>
      <c r="CP12" s="111"/>
    </row>
    <row r="13" spans="1:94" ht="15" customHeight="1" x14ac:dyDescent="0.25">
      <c r="A13" s="55"/>
      <c r="B13" s="54"/>
      <c r="C13" s="57"/>
      <c r="D13" s="56"/>
      <c r="E13" s="47" t="str" cm="1">
        <f t="array" ref="E13">IFERROR(INDEX(_xlfn.TEXTSPLIT(A13,"_"),3),"")</f>
        <v/>
      </c>
      <c r="F13" s="32">
        <f>_xlfn.XLOOKUP(_xlfn.CONCAT(A13,B13),Picklist!$O$3:$O$332,Picklist!$P$3:$P$332,"Choose Existing Role",0)</f>
        <v>0</v>
      </c>
      <c r="G13" s="58"/>
      <c r="H13" s="58"/>
      <c r="I13" s="58"/>
      <c r="J13" s="60"/>
      <c r="K13" s="60"/>
      <c r="L13" s="60"/>
      <c r="M13" s="60"/>
      <c r="N13" s="60"/>
      <c r="O13" s="60"/>
      <c r="P13" s="60"/>
      <c r="Q13" s="60"/>
      <c r="R13" s="60"/>
      <c r="S13" s="60"/>
      <c r="T13" s="60"/>
      <c r="U13" s="60"/>
      <c r="V13" s="60"/>
      <c r="W13" s="60"/>
      <c r="X13" s="60"/>
      <c r="Y13" s="60"/>
      <c r="Z13" s="60"/>
      <c r="AA13" s="60"/>
      <c r="AB13" s="60"/>
      <c r="AC13" s="60"/>
      <c r="AD13" s="60"/>
      <c r="AE13" s="60"/>
      <c r="AF13" s="60"/>
      <c r="AG13" s="60"/>
      <c r="AH13" s="60"/>
      <c r="AI13" s="60"/>
      <c r="AJ13" s="60"/>
      <c r="AK13" s="60"/>
      <c r="AL13" s="60"/>
      <c r="AM13" s="60"/>
      <c r="AN13" s="60"/>
      <c r="AO13" s="60"/>
      <c r="AP13" s="60"/>
      <c r="AQ13" s="59">
        <v>0</v>
      </c>
      <c r="AR13" s="127">
        <f t="shared" si="7"/>
        <v>0</v>
      </c>
      <c r="AS13" s="128">
        <f t="shared" si="1"/>
        <v>0</v>
      </c>
      <c r="AT13" s="129">
        <f t="shared" si="8"/>
        <v>0</v>
      </c>
      <c r="AU13" s="180">
        <f t="shared" si="2"/>
        <v>0</v>
      </c>
      <c r="AV13" s="271">
        <f t="shared" si="3"/>
        <v>0</v>
      </c>
      <c r="AW13" s="279">
        <f t="shared" si="9"/>
        <v>0</v>
      </c>
      <c r="AX13" s="302">
        <f t="shared" si="10"/>
        <v>0</v>
      </c>
      <c r="AY13" s="109"/>
      <c r="AZ13" s="110"/>
      <c r="BA13" s="110"/>
      <c r="BB13" s="110"/>
      <c r="BC13" s="110"/>
      <c r="BD13" s="110"/>
      <c r="BE13" s="110"/>
      <c r="BF13" s="110"/>
      <c r="BG13" s="110"/>
      <c r="BH13" s="110"/>
      <c r="BI13" s="264">
        <f>_xlfn.XLOOKUP((_xlfn.CONCAT(A13,B13)),Picklist!$O$3:$O$292,Picklist!$Q$3:$Q$292,"",0)</f>
        <v>0</v>
      </c>
      <c r="BJ13" s="265">
        <f t="shared" si="4"/>
        <v>0</v>
      </c>
      <c r="BK13" s="265">
        <f t="shared" si="5"/>
        <v>0</v>
      </c>
      <c r="BL13" s="303">
        <f t="shared" si="6"/>
        <v>0</v>
      </c>
      <c r="BM13" s="111"/>
      <c r="BN13" s="111"/>
      <c r="BO13" s="111"/>
      <c r="BP13" s="111"/>
      <c r="BQ13" s="111"/>
      <c r="BR13" s="111"/>
      <c r="BS13" s="111"/>
      <c r="BT13" s="111"/>
      <c r="BU13" s="111"/>
      <c r="BV13" s="111"/>
      <c r="BW13" s="111"/>
      <c r="BX13" s="111"/>
      <c r="BY13" s="111"/>
      <c r="BZ13" s="111"/>
      <c r="CA13" s="111"/>
      <c r="CB13" s="111"/>
      <c r="CC13" s="111"/>
      <c r="CD13" s="111"/>
      <c r="CE13" s="111"/>
      <c r="CF13" s="111"/>
      <c r="CG13" s="111"/>
      <c r="CH13" s="111"/>
      <c r="CI13" s="111"/>
      <c r="CJ13" s="111"/>
      <c r="CK13" s="111"/>
      <c r="CL13" s="111"/>
      <c r="CM13" s="111"/>
      <c r="CN13" s="111"/>
      <c r="CO13" s="111"/>
      <c r="CP13" s="111"/>
    </row>
    <row r="14" spans="1:94" ht="15" customHeight="1" x14ac:dyDescent="0.25">
      <c r="A14" s="55"/>
      <c r="B14" s="54"/>
      <c r="C14" s="57"/>
      <c r="D14" s="56"/>
      <c r="E14" s="47" t="str" cm="1">
        <f t="array" ref="E14">IFERROR(INDEX(_xlfn.TEXTSPLIT(A14,"_"),3),"")</f>
        <v/>
      </c>
      <c r="F14" s="32">
        <f>_xlfn.XLOOKUP(_xlfn.CONCAT(A14,B14),Picklist!$O$3:$O$332,Picklist!$P$3:$P$332,"Choose Existing Role",0)</f>
        <v>0</v>
      </c>
      <c r="G14" s="58"/>
      <c r="H14" s="58"/>
      <c r="I14" s="58"/>
      <c r="J14" s="60"/>
      <c r="K14" s="60"/>
      <c r="L14" s="60"/>
      <c r="M14" s="60"/>
      <c r="N14" s="60"/>
      <c r="O14" s="60"/>
      <c r="P14" s="60"/>
      <c r="Q14" s="60"/>
      <c r="R14" s="60"/>
      <c r="S14" s="60"/>
      <c r="T14" s="60"/>
      <c r="U14" s="60"/>
      <c r="V14" s="60"/>
      <c r="W14" s="60"/>
      <c r="X14" s="60"/>
      <c r="Y14" s="60"/>
      <c r="Z14" s="60"/>
      <c r="AA14" s="60"/>
      <c r="AB14" s="60"/>
      <c r="AC14" s="60"/>
      <c r="AD14" s="60"/>
      <c r="AE14" s="60"/>
      <c r="AF14" s="60"/>
      <c r="AG14" s="60"/>
      <c r="AH14" s="60"/>
      <c r="AI14" s="60"/>
      <c r="AJ14" s="60"/>
      <c r="AK14" s="60"/>
      <c r="AL14" s="60"/>
      <c r="AM14" s="60"/>
      <c r="AN14" s="60"/>
      <c r="AO14" s="60"/>
      <c r="AP14" s="60"/>
      <c r="AQ14" s="59">
        <v>0</v>
      </c>
      <c r="AR14" s="127">
        <f t="shared" si="7"/>
        <v>0</v>
      </c>
      <c r="AS14" s="128">
        <f t="shared" si="1"/>
        <v>0</v>
      </c>
      <c r="AT14" s="129">
        <f t="shared" si="8"/>
        <v>0</v>
      </c>
      <c r="AU14" s="180">
        <f t="shared" si="2"/>
        <v>0</v>
      </c>
      <c r="AV14" s="271">
        <f t="shared" si="3"/>
        <v>0</v>
      </c>
      <c r="AW14" s="279">
        <f t="shared" si="9"/>
        <v>0</v>
      </c>
      <c r="AX14" s="302">
        <f t="shared" si="10"/>
        <v>0</v>
      </c>
      <c r="AY14" s="109"/>
      <c r="AZ14" s="110"/>
      <c r="BA14" s="110"/>
      <c r="BB14" s="110"/>
      <c r="BC14" s="110"/>
      <c r="BD14" s="110"/>
      <c r="BE14" s="110"/>
      <c r="BF14" s="110"/>
      <c r="BG14" s="110"/>
      <c r="BH14" s="110"/>
      <c r="BI14" s="264">
        <f>_xlfn.XLOOKUP((_xlfn.CONCAT(A14,B14)),Picklist!$O$3:$O$292,Picklist!$Q$3:$Q$292,"",0)</f>
        <v>0</v>
      </c>
      <c r="BJ14" s="265">
        <f t="shared" si="4"/>
        <v>0</v>
      </c>
      <c r="BK14" s="265">
        <f t="shared" si="5"/>
        <v>0</v>
      </c>
      <c r="BL14" s="303">
        <f t="shared" si="6"/>
        <v>0</v>
      </c>
      <c r="BM14" s="111"/>
      <c r="BN14" s="111"/>
      <c r="BO14" s="111"/>
      <c r="BP14" s="111"/>
      <c r="BQ14" s="111"/>
      <c r="BR14" s="111"/>
      <c r="BS14" s="111"/>
      <c r="BT14" s="111"/>
      <c r="BU14" s="111"/>
      <c r="BV14" s="111"/>
      <c r="BW14" s="111"/>
      <c r="BX14" s="111"/>
      <c r="BY14" s="111"/>
      <c r="BZ14" s="111"/>
      <c r="CA14" s="111"/>
      <c r="CB14" s="111"/>
      <c r="CC14" s="111"/>
      <c r="CD14" s="111"/>
      <c r="CE14" s="111"/>
      <c r="CF14" s="111"/>
      <c r="CG14" s="111"/>
      <c r="CH14" s="111"/>
      <c r="CI14" s="111"/>
      <c r="CJ14" s="111"/>
      <c r="CK14" s="111"/>
      <c r="CL14" s="111"/>
      <c r="CM14" s="111"/>
      <c r="CN14" s="111"/>
      <c r="CO14" s="111"/>
      <c r="CP14" s="111"/>
    </row>
    <row r="15" spans="1:94" ht="15" customHeight="1" x14ac:dyDescent="0.25">
      <c r="A15" s="55"/>
      <c r="B15" s="54"/>
      <c r="C15" s="57"/>
      <c r="D15" s="56"/>
      <c r="E15" s="47" t="str" cm="1">
        <f t="array" ref="E15">IFERROR(INDEX(_xlfn.TEXTSPLIT(A15,"_"),3),"")</f>
        <v/>
      </c>
      <c r="F15" s="32">
        <f>_xlfn.XLOOKUP(_xlfn.CONCAT(A15,B15),Picklist!$O$3:$O$332,Picklist!$P$3:$P$332,"Choose Existing Role",0)</f>
        <v>0</v>
      </c>
      <c r="G15" s="58"/>
      <c r="H15" s="58"/>
      <c r="I15" s="58"/>
      <c r="J15" s="60"/>
      <c r="K15" s="60"/>
      <c r="L15" s="60"/>
      <c r="M15" s="60"/>
      <c r="N15" s="60"/>
      <c r="O15" s="60"/>
      <c r="P15" s="60"/>
      <c r="Q15" s="60"/>
      <c r="R15" s="60"/>
      <c r="S15" s="60"/>
      <c r="T15" s="60"/>
      <c r="U15" s="60"/>
      <c r="V15" s="60"/>
      <c r="W15" s="60"/>
      <c r="X15" s="60"/>
      <c r="Y15" s="60"/>
      <c r="Z15" s="60"/>
      <c r="AA15" s="60"/>
      <c r="AB15" s="60"/>
      <c r="AC15" s="60"/>
      <c r="AD15" s="60"/>
      <c r="AE15" s="60"/>
      <c r="AF15" s="60"/>
      <c r="AG15" s="60"/>
      <c r="AH15" s="60"/>
      <c r="AI15" s="60"/>
      <c r="AJ15" s="60"/>
      <c r="AK15" s="60"/>
      <c r="AL15" s="60"/>
      <c r="AM15" s="60"/>
      <c r="AN15" s="60"/>
      <c r="AO15" s="60"/>
      <c r="AP15" s="60"/>
      <c r="AQ15" s="59">
        <v>0</v>
      </c>
      <c r="AR15" s="127">
        <f t="shared" si="7"/>
        <v>0</v>
      </c>
      <c r="AS15" s="128">
        <f t="shared" si="1"/>
        <v>0</v>
      </c>
      <c r="AT15" s="129">
        <f t="shared" si="8"/>
        <v>0</v>
      </c>
      <c r="AU15" s="180">
        <f t="shared" si="2"/>
        <v>0</v>
      </c>
      <c r="AV15" s="271">
        <f t="shared" si="3"/>
        <v>0</v>
      </c>
      <c r="AW15" s="279">
        <f t="shared" si="9"/>
        <v>0</v>
      </c>
      <c r="AX15" s="302">
        <f t="shared" si="10"/>
        <v>0</v>
      </c>
      <c r="AY15" s="109"/>
      <c r="AZ15" s="110"/>
      <c r="BA15" s="110"/>
      <c r="BB15" s="110"/>
      <c r="BC15" s="110"/>
      <c r="BD15" s="110"/>
      <c r="BE15" s="110"/>
      <c r="BF15" s="110"/>
      <c r="BG15" s="110"/>
      <c r="BH15" s="110"/>
      <c r="BI15" s="264">
        <f>_xlfn.XLOOKUP((_xlfn.CONCAT(A15,B15)),Picklist!$O$3:$O$292,Picklist!$Q$3:$Q$292,"",0)</f>
        <v>0</v>
      </c>
      <c r="BJ15" s="265">
        <f t="shared" si="4"/>
        <v>0</v>
      </c>
      <c r="BK15" s="265">
        <f t="shared" si="5"/>
        <v>0</v>
      </c>
      <c r="BL15" s="303">
        <f t="shared" si="6"/>
        <v>0</v>
      </c>
      <c r="BM15" s="111"/>
      <c r="BN15" s="111"/>
      <c r="BO15" s="111"/>
      <c r="BP15" s="111"/>
      <c r="BQ15" s="111"/>
      <c r="BR15" s="111"/>
      <c r="BS15" s="111"/>
      <c r="BT15" s="111"/>
      <c r="BU15" s="111"/>
      <c r="BV15" s="111"/>
      <c r="BW15" s="111"/>
      <c r="BX15" s="111"/>
      <c r="BY15" s="111"/>
      <c r="BZ15" s="111"/>
      <c r="CA15" s="111"/>
      <c r="CB15" s="111"/>
      <c r="CC15" s="111"/>
      <c r="CD15" s="111"/>
      <c r="CE15" s="111"/>
      <c r="CF15" s="111"/>
      <c r="CG15" s="111"/>
      <c r="CH15" s="111"/>
      <c r="CI15" s="111"/>
      <c r="CJ15" s="111"/>
      <c r="CK15" s="111"/>
      <c r="CL15" s="111"/>
      <c r="CM15" s="111"/>
      <c r="CN15" s="111"/>
      <c r="CO15" s="111"/>
      <c r="CP15" s="111"/>
    </row>
    <row r="16" spans="1:94" ht="15" customHeight="1" x14ac:dyDescent="0.25">
      <c r="A16" s="55"/>
      <c r="B16" s="54"/>
      <c r="C16" s="57"/>
      <c r="D16" s="56"/>
      <c r="E16" s="47" t="str" cm="1">
        <f t="array" ref="E16">IFERROR(INDEX(_xlfn.TEXTSPLIT(A16,"_"),3),"")</f>
        <v/>
      </c>
      <c r="F16" s="32">
        <f>_xlfn.XLOOKUP(_xlfn.CONCAT(A16,B16),Picklist!$O$3:$O$332,Picklist!$P$3:$P$332,"Choose Existing Role",0)</f>
        <v>0</v>
      </c>
      <c r="G16" s="58"/>
      <c r="H16" s="58"/>
      <c r="I16" s="58"/>
      <c r="J16" s="60"/>
      <c r="K16" s="60"/>
      <c r="L16" s="60"/>
      <c r="M16" s="60"/>
      <c r="N16" s="60"/>
      <c r="O16" s="60"/>
      <c r="P16" s="60"/>
      <c r="Q16" s="60"/>
      <c r="R16" s="60"/>
      <c r="S16" s="60"/>
      <c r="T16" s="60"/>
      <c r="U16" s="60"/>
      <c r="V16" s="60"/>
      <c r="W16" s="60"/>
      <c r="X16" s="60"/>
      <c r="Y16" s="60"/>
      <c r="Z16" s="60"/>
      <c r="AA16" s="60"/>
      <c r="AB16" s="60"/>
      <c r="AC16" s="60"/>
      <c r="AD16" s="60"/>
      <c r="AE16" s="60"/>
      <c r="AF16" s="60"/>
      <c r="AG16" s="60"/>
      <c r="AH16" s="60"/>
      <c r="AI16" s="60"/>
      <c r="AJ16" s="60"/>
      <c r="AK16" s="60"/>
      <c r="AL16" s="60"/>
      <c r="AM16" s="60"/>
      <c r="AN16" s="60"/>
      <c r="AO16" s="60"/>
      <c r="AP16" s="60"/>
      <c r="AQ16" s="59">
        <v>0</v>
      </c>
      <c r="AR16" s="127">
        <f t="shared" si="7"/>
        <v>0</v>
      </c>
      <c r="AS16" s="128">
        <f t="shared" si="1"/>
        <v>0</v>
      </c>
      <c r="AT16" s="129">
        <f t="shared" si="8"/>
        <v>0</v>
      </c>
      <c r="AU16" s="180">
        <f t="shared" si="2"/>
        <v>0</v>
      </c>
      <c r="AV16" s="271">
        <f t="shared" si="3"/>
        <v>0</v>
      </c>
      <c r="AW16" s="279">
        <f t="shared" si="9"/>
        <v>0</v>
      </c>
      <c r="AX16" s="302">
        <f t="shared" si="10"/>
        <v>0</v>
      </c>
      <c r="AY16" s="109"/>
      <c r="AZ16" s="110"/>
      <c r="BA16" s="110"/>
      <c r="BB16" s="110"/>
      <c r="BC16" s="110"/>
      <c r="BD16" s="110"/>
      <c r="BE16" s="110"/>
      <c r="BF16" s="110"/>
      <c r="BG16" s="110"/>
      <c r="BH16" s="110"/>
      <c r="BI16" s="264">
        <f>_xlfn.XLOOKUP((_xlfn.CONCAT(A16,B16)),Picklist!$O$3:$O$292,Picklist!$Q$3:$Q$292,"",0)</f>
        <v>0</v>
      </c>
      <c r="BJ16" s="265">
        <f t="shared" si="4"/>
        <v>0</v>
      </c>
      <c r="BK16" s="265">
        <f t="shared" si="5"/>
        <v>0</v>
      </c>
      <c r="BL16" s="303">
        <f t="shared" si="6"/>
        <v>0</v>
      </c>
      <c r="BM16" s="111"/>
      <c r="BN16" s="111"/>
      <c r="BO16" s="111"/>
      <c r="BP16" s="111"/>
      <c r="BQ16" s="111"/>
      <c r="BR16" s="111"/>
      <c r="BS16" s="111"/>
      <c r="BT16" s="111"/>
      <c r="BU16" s="111"/>
      <c r="BV16" s="111"/>
      <c r="BW16" s="111"/>
      <c r="BX16" s="111"/>
      <c r="BY16" s="111"/>
      <c r="BZ16" s="111"/>
      <c r="CA16" s="111"/>
      <c r="CB16" s="111"/>
      <c r="CC16" s="111"/>
      <c r="CD16" s="111"/>
      <c r="CE16" s="111"/>
      <c r="CF16" s="111"/>
      <c r="CG16" s="111"/>
      <c r="CH16" s="111"/>
      <c r="CI16" s="111"/>
      <c r="CJ16" s="111"/>
      <c r="CK16" s="111"/>
      <c r="CL16" s="111"/>
      <c r="CM16" s="111"/>
      <c r="CN16" s="111"/>
      <c r="CO16" s="111"/>
      <c r="CP16" s="111"/>
    </row>
    <row r="17" spans="1:94" x14ac:dyDescent="0.25">
      <c r="A17" s="55"/>
      <c r="B17" s="54"/>
      <c r="C17" s="57"/>
      <c r="D17" s="56"/>
      <c r="E17" s="47" t="str" cm="1">
        <f t="array" ref="E17">IFERROR(INDEX(_xlfn.TEXTSPLIT(A17,"_"),3),"")</f>
        <v/>
      </c>
      <c r="F17" s="32">
        <f>_xlfn.XLOOKUP(_xlfn.CONCAT(A17,B17),Picklist!$O$3:$O$332,Picklist!$P$3:$P$332,"Choose Existing Role",0)</f>
        <v>0</v>
      </c>
      <c r="G17" s="58"/>
      <c r="H17" s="58"/>
      <c r="I17" s="58"/>
      <c r="J17" s="60"/>
      <c r="K17" s="60"/>
      <c r="L17" s="60"/>
      <c r="M17" s="60"/>
      <c r="N17" s="60"/>
      <c r="O17" s="60"/>
      <c r="P17" s="60"/>
      <c r="Q17" s="60"/>
      <c r="R17" s="60"/>
      <c r="S17" s="60"/>
      <c r="T17" s="60"/>
      <c r="U17" s="60"/>
      <c r="V17" s="60"/>
      <c r="W17" s="60"/>
      <c r="X17" s="60"/>
      <c r="Y17" s="60"/>
      <c r="Z17" s="60"/>
      <c r="AA17" s="60"/>
      <c r="AB17" s="60"/>
      <c r="AC17" s="60"/>
      <c r="AD17" s="60"/>
      <c r="AE17" s="60"/>
      <c r="AF17" s="60"/>
      <c r="AG17" s="60"/>
      <c r="AH17" s="60"/>
      <c r="AI17" s="60"/>
      <c r="AJ17" s="60"/>
      <c r="AK17" s="60"/>
      <c r="AL17" s="60"/>
      <c r="AM17" s="60"/>
      <c r="AN17" s="60"/>
      <c r="AO17" s="60"/>
      <c r="AP17" s="60"/>
      <c r="AQ17" s="59">
        <v>0</v>
      </c>
      <c r="AR17" s="127">
        <f t="shared" si="7"/>
        <v>0</v>
      </c>
      <c r="AS17" s="128">
        <f t="shared" si="1"/>
        <v>0</v>
      </c>
      <c r="AT17" s="129">
        <f t="shared" si="8"/>
        <v>0</v>
      </c>
      <c r="AU17" s="180">
        <f t="shared" si="2"/>
        <v>0</v>
      </c>
      <c r="AV17" s="271">
        <f t="shared" si="3"/>
        <v>0</v>
      </c>
      <c r="AW17" s="279">
        <f t="shared" si="9"/>
        <v>0</v>
      </c>
      <c r="AX17" s="302">
        <f t="shared" si="10"/>
        <v>0</v>
      </c>
      <c r="AY17" s="109"/>
      <c r="AZ17" s="110"/>
      <c r="BA17" s="110"/>
      <c r="BB17" s="110"/>
      <c r="BC17" s="110"/>
      <c r="BD17" s="110"/>
      <c r="BE17" s="110"/>
      <c r="BF17" s="110"/>
      <c r="BG17" s="110"/>
      <c r="BH17" s="110"/>
      <c r="BI17" s="264">
        <f>_xlfn.XLOOKUP((_xlfn.CONCAT(A17,B17)),Picklist!$O$3:$O$292,Picklist!$Q$3:$Q$292,"",0)</f>
        <v>0</v>
      </c>
      <c r="BJ17" s="265">
        <f t="shared" si="4"/>
        <v>0</v>
      </c>
      <c r="BK17" s="265">
        <f t="shared" si="5"/>
        <v>0</v>
      </c>
      <c r="BL17" s="303">
        <f t="shared" si="6"/>
        <v>0</v>
      </c>
      <c r="BM17" s="111"/>
      <c r="BN17" s="111"/>
      <c r="BO17" s="111"/>
      <c r="BP17" s="111"/>
      <c r="BQ17" s="111"/>
      <c r="BR17" s="111"/>
      <c r="BS17" s="111"/>
      <c r="BT17" s="111"/>
      <c r="BU17" s="111"/>
      <c r="BV17" s="111"/>
      <c r="BW17" s="111"/>
      <c r="BX17" s="111"/>
      <c r="BY17" s="111"/>
      <c r="BZ17" s="111"/>
      <c r="CA17" s="111"/>
      <c r="CB17" s="111"/>
      <c r="CC17" s="111"/>
      <c r="CD17" s="111"/>
      <c r="CE17" s="111"/>
      <c r="CF17" s="111"/>
      <c r="CG17" s="111"/>
      <c r="CH17" s="111"/>
      <c r="CI17" s="111"/>
      <c r="CJ17" s="111"/>
      <c r="CK17" s="111"/>
      <c r="CL17" s="111"/>
      <c r="CM17" s="111"/>
      <c r="CN17" s="111"/>
      <c r="CO17" s="111"/>
      <c r="CP17" s="111"/>
    </row>
    <row r="18" spans="1:94" x14ac:dyDescent="0.25">
      <c r="A18" s="55"/>
      <c r="B18" s="54"/>
      <c r="C18" s="57"/>
      <c r="D18" s="56"/>
      <c r="E18" s="47" t="str" cm="1">
        <f t="array" ref="E18">IFERROR(INDEX(_xlfn.TEXTSPLIT(A18,"_"),3),"")</f>
        <v/>
      </c>
      <c r="F18" s="32">
        <f>_xlfn.XLOOKUP(_xlfn.CONCAT(A18,B18),Picklist!$O$3:$O$332,Picklist!$P$3:$P$332,"Choose Existing Role",0)</f>
        <v>0</v>
      </c>
      <c r="G18" s="58"/>
      <c r="H18" s="58"/>
      <c r="I18" s="58"/>
      <c r="J18" s="60"/>
      <c r="K18" s="60"/>
      <c r="L18" s="60"/>
      <c r="M18" s="60"/>
      <c r="N18" s="60"/>
      <c r="O18" s="60"/>
      <c r="P18" s="60"/>
      <c r="Q18" s="60"/>
      <c r="R18" s="60"/>
      <c r="S18" s="60"/>
      <c r="T18" s="60"/>
      <c r="U18" s="60"/>
      <c r="V18" s="60"/>
      <c r="W18" s="60"/>
      <c r="X18" s="60"/>
      <c r="Y18" s="60"/>
      <c r="Z18" s="60"/>
      <c r="AA18" s="60"/>
      <c r="AB18" s="60"/>
      <c r="AC18" s="60"/>
      <c r="AD18" s="60"/>
      <c r="AE18" s="60"/>
      <c r="AF18" s="60"/>
      <c r="AG18" s="60"/>
      <c r="AH18" s="60"/>
      <c r="AI18" s="60"/>
      <c r="AJ18" s="60"/>
      <c r="AK18" s="60"/>
      <c r="AL18" s="60"/>
      <c r="AM18" s="60"/>
      <c r="AN18" s="60"/>
      <c r="AO18" s="60"/>
      <c r="AP18" s="60"/>
      <c r="AQ18" s="59">
        <v>0</v>
      </c>
      <c r="AR18" s="127">
        <f t="shared" si="7"/>
        <v>0</v>
      </c>
      <c r="AS18" s="128">
        <f t="shared" si="1"/>
        <v>0</v>
      </c>
      <c r="AT18" s="129">
        <f t="shared" si="8"/>
        <v>0</v>
      </c>
      <c r="AU18" s="180">
        <f t="shared" si="2"/>
        <v>0</v>
      </c>
      <c r="AV18" s="271">
        <f t="shared" si="3"/>
        <v>0</v>
      </c>
      <c r="AW18" s="279">
        <f t="shared" si="9"/>
        <v>0</v>
      </c>
      <c r="AX18" s="302">
        <f t="shared" si="10"/>
        <v>0</v>
      </c>
      <c r="AY18" s="109"/>
      <c r="AZ18" s="110"/>
      <c r="BA18" s="110"/>
      <c r="BB18" s="110"/>
      <c r="BC18" s="110"/>
      <c r="BD18" s="110"/>
      <c r="BE18" s="110"/>
      <c r="BF18" s="110"/>
      <c r="BG18" s="110"/>
      <c r="BH18" s="110"/>
      <c r="BI18" s="264">
        <f>_xlfn.XLOOKUP((_xlfn.CONCAT(A18,B18)),Picklist!$O$3:$O$292,Picklist!$Q$3:$Q$292,"",0)</f>
        <v>0</v>
      </c>
      <c r="BJ18" s="265">
        <f t="shared" si="4"/>
        <v>0</v>
      </c>
      <c r="BK18" s="265">
        <f t="shared" si="5"/>
        <v>0</v>
      </c>
      <c r="BL18" s="303">
        <f t="shared" si="6"/>
        <v>0</v>
      </c>
      <c r="BM18" s="111"/>
      <c r="BN18" s="111"/>
      <c r="BO18" s="111"/>
      <c r="BP18" s="111"/>
      <c r="BQ18" s="111"/>
      <c r="BR18" s="111"/>
      <c r="BS18" s="111"/>
      <c r="BT18" s="111"/>
      <c r="BU18" s="111"/>
      <c r="BV18" s="111"/>
      <c r="BW18" s="111"/>
      <c r="BX18" s="111"/>
      <c r="BY18" s="111"/>
      <c r="BZ18" s="111"/>
      <c r="CA18" s="111"/>
      <c r="CB18" s="111"/>
      <c r="CC18" s="111"/>
      <c r="CD18" s="111"/>
      <c r="CE18" s="111"/>
      <c r="CF18" s="111"/>
      <c r="CG18" s="111"/>
      <c r="CH18" s="111"/>
      <c r="CI18" s="111"/>
      <c r="CJ18" s="111"/>
      <c r="CK18" s="111"/>
      <c r="CL18" s="111"/>
      <c r="CM18" s="111"/>
      <c r="CN18" s="111"/>
      <c r="CO18" s="111"/>
      <c r="CP18" s="111"/>
    </row>
    <row r="19" spans="1:94" ht="15.75" thickBot="1" x14ac:dyDescent="0.3">
      <c r="A19" s="55"/>
      <c r="B19" s="54"/>
      <c r="C19" s="57"/>
      <c r="D19" s="56"/>
      <c r="E19" s="47" t="str" cm="1">
        <f t="array" ref="E19">IFERROR(INDEX(_xlfn.TEXTSPLIT(A19,"_"),3),"")</f>
        <v/>
      </c>
      <c r="F19" s="32">
        <f>_xlfn.XLOOKUP(_xlfn.CONCAT(A19,B19),Picklist!$O$3:$O$332,Picklist!$P$3:$P$332,"Choose Existing Role",0)</f>
        <v>0</v>
      </c>
      <c r="G19" s="58"/>
      <c r="H19" s="58"/>
      <c r="I19" s="58"/>
      <c r="J19" s="60"/>
      <c r="K19" s="60"/>
      <c r="L19" s="60"/>
      <c r="M19" s="60"/>
      <c r="N19" s="60"/>
      <c r="O19" s="60"/>
      <c r="P19" s="60"/>
      <c r="Q19" s="60"/>
      <c r="R19" s="60"/>
      <c r="S19" s="60"/>
      <c r="T19" s="60"/>
      <c r="U19" s="60"/>
      <c r="V19" s="60"/>
      <c r="W19" s="60"/>
      <c r="X19" s="60"/>
      <c r="Y19" s="60"/>
      <c r="Z19" s="60"/>
      <c r="AA19" s="60"/>
      <c r="AB19" s="60"/>
      <c r="AC19" s="60"/>
      <c r="AD19" s="60"/>
      <c r="AE19" s="60"/>
      <c r="AF19" s="60"/>
      <c r="AG19" s="60"/>
      <c r="AH19" s="60"/>
      <c r="AI19" s="60"/>
      <c r="AJ19" s="60"/>
      <c r="AK19" s="60"/>
      <c r="AL19" s="60"/>
      <c r="AM19" s="60"/>
      <c r="AN19" s="60"/>
      <c r="AO19" s="60"/>
      <c r="AP19" s="60"/>
      <c r="AQ19" s="59">
        <v>0</v>
      </c>
      <c r="AR19" s="127">
        <f t="shared" si="7"/>
        <v>0</v>
      </c>
      <c r="AS19" s="128">
        <f t="shared" si="1"/>
        <v>0</v>
      </c>
      <c r="AT19" s="129">
        <f t="shared" si="8"/>
        <v>0</v>
      </c>
      <c r="AU19" s="180">
        <f t="shared" si="2"/>
        <v>0</v>
      </c>
      <c r="AV19" s="271">
        <f t="shared" si="3"/>
        <v>0</v>
      </c>
      <c r="AW19" s="279">
        <f t="shared" si="9"/>
        <v>0</v>
      </c>
      <c r="AX19" s="302">
        <f t="shared" si="10"/>
        <v>0</v>
      </c>
      <c r="AY19" s="109"/>
      <c r="AZ19" s="110"/>
      <c r="BA19" s="110"/>
      <c r="BB19" s="110"/>
      <c r="BC19" s="110"/>
      <c r="BD19" s="110"/>
      <c r="BE19" s="110"/>
      <c r="BF19" s="110"/>
      <c r="BG19" s="110"/>
      <c r="BH19" s="110"/>
      <c r="BI19" s="264">
        <f>_xlfn.XLOOKUP((_xlfn.CONCAT(A19,B19)),Picklist!$O$3:$O$292,Picklist!$Q$3:$Q$292,"",0)</f>
        <v>0</v>
      </c>
      <c r="BJ19" s="265">
        <f t="shared" si="4"/>
        <v>0</v>
      </c>
      <c r="BK19" s="265">
        <f t="shared" si="5"/>
        <v>0</v>
      </c>
      <c r="BL19" s="303">
        <f t="shared" si="6"/>
        <v>0</v>
      </c>
      <c r="BM19" s="111"/>
      <c r="BN19" s="111"/>
      <c r="BO19" s="111"/>
      <c r="BP19" s="111"/>
      <c r="BQ19" s="111"/>
      <c r="BR19" s="111"/>
      <c r="BS19" s="111"/>
      <c r="BT19" s="111"/>
      <c r="BU19" s="111"/>
      <c r="BV19" s="111"/>
      <c r="BW19" s="111"/>
      <c r="BX19" s="111"/>
      <c r="BY19" s="111"/>
      <c r="BZ19" s="111"/>
      <c r="CA19" s="111"/>
      <c r="CB19" s="111"/>
      <c r="CC19" s="111"/>
      <c r="CD19" s="111"/>
      <c r="CE19" s="111"/>
      <c r="CF19" s="111"/>
      <c r="CG19" s="111"/>
      <c r="CH19" s="111"/>
      <c r="CI19" s="111"/>
      <c r="CJ19" s="111"/>
      <c r="CK19" s="111"/>
      <c r="CL19" s="111"/>
      <c r="CM19" s="111"/>
      <c r="CN19" s="111"/>
      <c r="CO19" s="111"/>
      <c r="CP19" s="111"/>
    </row>
    <row r="20" spans="1:94" hidden="1" x14ac:dyDescent="0.25">
      <c r="A20" s="55"/>
      <c r="B20" s="54"/>
      <c r="C20" s="57"/>
      <c r="D20" s="56"/>
      <c r="E20" s="47" t="str" cm="1">
        <f t="array" ref="E20">IFERROR(INDEX(_xlfn.TEXTSPLIT(A20,"_"),3),"")</f>
        <v/>
      </c>
      <c r="F20" s="32">
        <f>_xlfn.XLOOKUP(_xlfn.CONCAT(A20,B20),Picklist!$O$3:$O$332,Picklist!$P$3:$P$332,"Choose Existing Role",0)</f>
        <v>0</v>
      </c>
      <c r="G20" s="58"/>
      <c r="H20" s="58"/>
      <c r="I20" s="58"/>
      <c r="J20" s="60"/>
      <c r="K20" s="60"/>
      <c r="L20" s="60"/>
      <c r="M20" s="60"/>
      <c r="N20" s="60"/>
      <c r="O20" s="60"/>
      <c r="P20" s="60"/>
      <c r="Q20" s="60"/>
      <c r="R20" s="60"/>
      <c r="S20" s="60"/>
      <c r="T20" s="60"/>
      <c r="U20" s="60"/>
      <c r="V20" s="60"/>
      <c r="W20" s="60"/>
      <c r="X20" s="60"/>
      <c r="Y20" s="60"/>
      <c r="Z20" s="60"/>
      <c r="AA20" s="60"/>
      <c r="AB20" s="60"/>
      <c r="AC20" s="60"/>
      <c r="AD20" s="60"/>
      <c r="AE20" s="60"/>
      <c r="AF20" s="60"/>
      <c r="AG20" s="60"/>
      <c r="AH20" s="60"/>
      <c r="AI20" s="60"/>
      <c r="AJ20" s="60"/>
      <c r="AK20" s="60"/>
      <c r="AL20" s="60"/>
      <c r="AM20" s="60"/>
      <c r="AN20" s="60"/>
      <c r="AO20" s="60"/>
      <c r="AP20" s="60"/>
      <c r="AQ20" s="59">
        <v>0</v>
      </c>
      <c r="AR20" s="127">
        <f t="shared" si="7"/>
        <v>0</v>
      </c>
      <c r="AS20" s="130">
        <f t="shared" si="1"/>
        <v>0</v>
      </c>
      <c r="AT20" s="129">
        <f t="shared" si="8"/>
        <v>0</v>
      </c>
      <c r="AU20" s="180">
        <f t="shared" si="2"/>
        <v>0</v>
      </c>
      <c r="AV20" s="271">
        <f t="shared" si="3"/>
        <v>0</v>
      </c>
      <c r="AW20" s="279">
        <f t="shared" si="9"/>
        <v>0</v>
      </c>
      <c r="AX20" s="302">
        <f t="shared" si="10"/>
        <v>0</v>
      </c>
      <c r="AY20" s="109"/>
      <c r="AZ20" s="110"/>
      <c r="BA20" s="110"/>
      <c r="BB20" s="110"/>
      <c r="BC20" s="110"/>
      <c r="BD20" s="110"/>
      <c r="BE20" s="110"/>
      <c r="BF20" s="110"/>
      <c r="BG20" s="110"/>
      <c r="BH20" s="110"/>
      <c r="BI20" s="264">
        <f>_xlfn.XLOOKUP((_xlfn.CONCAT(A20,B20)),Picklist!$O$3:$O$292,Picklist!$Q$3:$Q$292,"",0)</f>
        <v>0</v>
      </c>
      <c r="BJ20" s="265">
        <f t="shared" si="4"/>
        <v>0</v>
      </c>
      <c r="BK20" s="265">
        <f t="shared" si="5"/>
        <v>0</v>
      </c>
      <c r="BL20" s="303">
        <f t="shared" si="6"/>
        <v>0</v>
      </c>
      <c r="BM20" s="111"/>
      <c r="BN20" s="111"/>
      <c r="BO20" s="111"/>
      <c r="BP20" s="111"/>
      <c r="BQ20" s="111"/>
      <c r="BR20" s="111"/>
      <c r="BS20" s="111"/>
      <c r="BT20" s="111"/>
      <c r="BU20" s="111"/>
      <c r="BV20" s="111"/>
      <c r="BW20" s="111"/>
      <c r="BX20" s="111"/>
      <c r="BY20" s="111"/>
      <c r="BZ20" s="111"/>
      <c r="CA20" s="111"/>
      <c r="CB20" s="111"/>
      <c r="CC20" s="111"/>
      <c r="CD20" s="111"/>
      <c r="CE20" s="111"/>
      <c r="CF20" s="111"/>
      <c r="CG20" s="111"/>
      <c r="CH20" s="111"/>
      <c r="CI20" s="111"/>
      <c r="CJ20" s="111"/>
      <c r="CK20" s="111"/>
      <c r="CL20" s="111"/>
      <c r="CM20" s="111"/>
      <c r="CN20" s="111"/>
      <c r="CO20" s="111"/>
      <c r="CP20" s="111"/>
    </row>
    <row r="21" spans="1:94" hidden="1" x14ac:dyDescent="0.25">
      <c r="A21" s="55"/>
      <c r="B21" s="54"/>
      <c r="C21" s="57"/>
      <c r="D21" s="56"/>
      <c r="E21" s="47" t="str" cm="1">
        <f t="array" ref="E21">IFERROR(INDEX(_xlfn.TEXTSPLIT(A21,"_"),3),"")</f>
        <v/>
      </c>
      <c r="F21" s="32">
        <f>_xlfn.XLOOKUP(_xlfn.CONCAT(A21,B21),Picklist!$O$3:$O$332,Picklist!$P$3:$P$332,"Choose Existing Role",0)</f>
        <v>0</v>
      </c>
      <c r="G21" s="58"/>
      <c r="H21" s="58"/>
      <c r="I21" s="58"/>
      <c r="J21" s="60"/>
      <c r="K21" s="60"/>
      <c r="L21" s="60"/>
      <c r="M21" s="60"/>
      <c r="N21" s="60"/>
      <c r="O21" s="60"/>
      <c r="P21" s="60"/>
      <c r="Q21" s="60"/>
      <c r="R21" s="60"/>
      <c r="S21" s="60"/>
      <c r="T21" s="60"/>
      <c r="U21" s="60"/>
      <c r="V21" s="60"/>
      <c r="W21" s="60"/>
      <c r="X21" s="60"/>
      <c r="Y21" s="60"/>
      <c r="Z21" s="60"/>
      <c r="AA21" s="60"/>
      <c r="AB21" s="60"/>
      <c r="AC21" s="60"/>
      <c r="AD21" s="60"/>
      <c r="AE21" s="60"/>
      <c r="AF21" s="60"/>
      <c r="AG21" s="60"/>
      <c r="AH21" s="60"/>
      <c r="AI21" s="60"/>
      <c r="AJ21" s="60"/>
      <c r="AK21" s="60"/>
      <c r="AL21" s="60"/>
      <c r="AM21" s="60"/>
      <c r="AN21" s="60"/>
      <c r="AO21" s="60"/>
      <c r="AP21" s="60"/>
      <c r="AQ21" s="59">
        <v>0</v>
      </c>
      <c r="AR21" s="127">
        <f t="shared" si="7"/>
        <v>0</v>
      </c>
      <c r="AS21" s="130">
        <f t="shared" si="1"/>
        <v>0</v>
      </c>
      <c r="AT21" s="129">
        <f t="shared" si="8"/>
        <v>0</v>
      </c>
      <c r="AU21" s="180">
        <f t="shared" si="2"/>
        <v>0</v>
      </c>
      <c r="AV21" s="271">
        <f t="shared" si="3"/>
        <v>0</v>
      </c>
      <c r="AW21" s="279">
        <f t="shared" si="9"/>
        <v>0</v>
      </c>
      <c r="AX21" s="302">
        <f t="shared" si="10"/>
        <v>0</v>
      </c>
      <c r="AY21" s="109"/>
      <c r="AZ21" s="110"/>
      <c r="BA21" s="110"/>
      <c r="BB21" s="110"/>
      <c r="BC21" s="110"/>
      <c r="BD21" s="110"/>
      <c r="BE21" s="110"/>
      <c r="BF21" s="110"/>
      <c r="BG21" s="110"/>
      <c r="BH21" s="110"/>
      <c r="BI21" s="264">
        <f>_xlfn.XLOOKUP((_xlfn.CONCAT(A21,B21)),Picklist!$O$3:$O$292,Picklist!$Q$3:$Q$292,"",0)</f>
        <v>0</v>
      </c>
      <c r="BJ21" s="265">
        <f t="shared" si="4"/>
        <v>0</v>
      </c>
      <c r="BK21" s="265">
        <f t="shared" si="5"/>
        <v>0</v>
      </c>
      <c r="BL21" s="303">
        <f t="shared" si="6"/>
        <v>0</v>
      </c>
      <c r="BM21" s="111"/>
      <c r="BN21" s="111"/>
      <c r="BO21" s="111"/>
      <c r="BP21" s="111"/>
      <c r="BQ21" s="111"/>
      <c r="BR21" s="111"/>
      <c r="BS21" s="111"/>
      <c r="BT21" s="111"/>
      <c r="BU21" s="111"/>
      <c r="BV21" s="111"/>
      <c r="BW21" s="111"/>
      <c r="BX21" s="111"/>
      <c r="BY21" s="111"/>
      <c r="BZ21" s="111"/>
      <c r="CA21" s="111"/>
      <c r="CB21" s="111"/>
      <c r="CC21" s="111"/>
      <c r="CD21" s="111"/>
      <c r="CE21" s="111"/>
      <c r="CF21" s="111"/>
      <c r="CG21" s="111"/>
      <c r="CH21" s="111"/>
      <c r="CI21" s="111"/>
      <c r="CJ21" s="111"/>
      <c r="CK21" s="111"/>
      <c r="CL21" s="111"/>
      <c r="CM21" s="111"/>
      <c r="CN21" s="111"/>
      <c r="CO21" s="111"/>
      <c r="CP21" s="111"/>
    </row>
    <row r="22" spans="1:94" hidden="1" x14ac:dyDescent="0.25">
      <c r="A22" s="55"/>
      <c r="B22" s="54"/>
      <c r="C22" s="57"/>
      <c r="D22" s="56"/>
      <c r="E22" s="47" t="str" cm="1">
        <f t="array" ref="E22">IFERROR(INDEX(_xlfn.TEXTSPLIT(A22,"_"),3),"")</f>
        <v/>
      </c>
      <c r="F22" s="32">
        <f>_xlfn.XLOOKUP(_xlfn.CONCAT(A22,B22),Picklist!$O$3:$O$332,Picklist!$P$3:$P$332,"Choose Existing Role",0)</f>
        <v>0</v>
      </c>
      <c r="G22" s="58"/>
      <c r="H22" s="58"/>
      <c r="I22" s="58"/>
      <c r="J22" s="60"/>
      <c r="K22" s="60"/>
      <c r="L22" s="60"/>
      <c r="M22" s="60"/>
      <c r="N22" s="60"/>
      <c r="O22" s="60"/>
      <c r="P22" s="60"/>
      <c r="Q22" s="60"/>
      <c r="R22" s="60"/>
      <c r="S22" s="60"/>
      <c r="T22" s="60"/>
      <c r="U22" s="60"/>
      <c r="V22" s="60"/>
      <c r="W22" s="60"/>
      <c r="X22" s="60"/>
      <c r="Y22" s="60"/>
      <c r="Z22" s="60"/>
      <c r="AA22" s="60"/>
      <c r="AB22" s="60"/>
      <c r="AC22" s="60"/>
      <c r="AD22" s="60"/>
      <c r="AE22" s="60"/>
      <c r="AF22" s="60"/>
      <c r="AG22" s="60"/>
      <c r="AH22" s="60"/>
      <c r="AI22" s="60"/>
      <c r="AJ22" s="60"/>
      <c r="AK22" s="60"/>
      <c r="AL22" s="60"/>
      <c r="AM22" s="60"/>
      <c r="AN22" s="60"/>
      <c r="AO22" s="60"/>
      <c r="AP22" s="60"/>
      <c r="AQ22" s="59">
        <v>0</v>
      </c>
      <c r="AR22" s="127">
        <f t="shared" si="7"/>
        <v>0</v>
      </c>
      <c r="AS22" s="130">
        <f t="shared" ref="AS22:AS43" si="11">IFERROR((F22*AR22),0)</f>
        <v>0</v>
      </c>
      <c r="AT22" s="129">
        <f t="shared" si="8"/>
        <v>0</v>
      </c>
      <c r="AU22" s="180">
        <f t="shared" si="2"/>
        <v>0</v>
      </c>
      <c r="AV22" s="271">
        <f t="shared" si="3"/>
        <v>0</v>
      </c>
      <c r="AW22" s="279">
        <f t="shared" si="9"/>
        <v>0</v>
      </c>
      <c r="AX22" s="302">
        <f t="shared" si="10"/>
        <v>0</v>
      </c>
      <c r="AY22" s="109"/>
      <c r="AZ22" s="110"/>
      <c r="BA22" s="110"/>
      <c r="BB22" s="110"/>
      <c r="BC22" s="110"/>
      <c r="BD22" s="110"/>
      <c r="BE22" s="110"/>
      <c r="BF22" s="110"/>
      <c r="BG22" s="110"/>
      <c r="BH22" s="110"/>
      <c r="BI22" s="264">
        <f>_xlfn.XLOOKUP((_xlfn.CONCAT(A22,B22)),Picklist!$O$3:$O$292,Picklist!$Q$3:$Q$292,"",0)</f>
        <v>0</v>
      </c>
      <c r="BJ22" s="265">
        <f t="shared" si="4"/>
        <v>0</v>
      </c>
      <c r="BK22" s="265">
        <f t="shared" si="5"/>
        <v>0</v>
      </c>
      <c r="BL22" s="303">
        <f t="shared" si="6"/>
        <v>0</v>
      </c>
      <c r="BM22" s="111"/>
      <c r="BN22" s="111"/>
      <c r="BO22" s="111"/>
      <c r="BP22" s="111"/>
      <c r="BQ22" s="111"/>
      <c r="BR22" s="111"/>
      <c r="BS22" s="111"/>
      <c r="BT22" s="111"/>
      <c r="BU22" s="111"/>
      <c r="BV22" s="111"/>
      <c r="BW22" s="111"/>
      <c r="BX22" s="111"/>
      <c r="BY22" s="111"/>
      <c r="BZ22" s="111"/>
      <c r="CA22" s="111"/>
      <c r="CB22" s="111"/>
      <c r="CC22" s="111"/>
      <c r="CD22" s="111"/>
      <c r="CE22" s="111"/>
      <c r="CF22" s="111"/>
      <c r="CG22" s="111"/>
      <c r="CH22" s="111"/>
      <c r="CI22" s="111"/>
      <c r="CJ22" s="111"/>
      <c r="CK22" s="111"/>
      <c r="CL22" s="111"/>
      <c r="CM22" s="111"/>
      <c r="CN22" s="111"/>
      <c r="CO22" s="111"/>
      <c r="CP22" s="111"/>
    </row>
    <row r="23" spans="1:94" hidden="1" x14ac:dyDescent="0.25">
      <c r="A23" s="55"/>
      <c r="B23" s="54"/>
      <c r="C23" s="57"/>
      <c r="D23" s="56"/>
      <c r="E23" s="47" t="str" cm="1">
        <f t="array" ref="E23">IFERROR(INDEX(_xlfn.TEXTSPLIT(A23,"_"),3),"")</f>
        <v/>
      </c>
      <c r="F23" s="32">
        <f>_xlfn.XLOOKUP(_xlfn.CONCAT(A23,B23),Picklist!$O$3:$O$332,Picklist!$P$3:$P$332,"Choose Existing Role",0)</f>
        <v>0</v>
      </c>
      <c r="G23" s="58"/>
      <c r="H23" s="58"/>
      <c r="I23" s="58"/>
      <c r="J23" s="60"/>
      <c r="K23" s="60"/>
      <c r="L23" s="60"/>
      <c r="M23" s="60"/>
      <c r="N23" s="60"/>
      <c r="O23" s="60"/>
      <c r="P23" s="60"/>
      <c r="Q23" s="60"/>
      <c r="R23" s="60"/>
      <c r="S23" s="60"/>
      <c r="T23" s="60"/>
      <c r="U23" s="60"/>
      <c r="V23" s="60"/>
      <c r="W23" s="60"/>
      <c r="X23" s="60"/>
      <c r="Y23" s="60"/>
      <c r="Z23" s="60"/>
      <c r="AA23" s="60"/>
      <c r="AB23" s="60"/>
      <c r="AC23" s="60"/>
      <c r="AD23" s="60"/>
      <c r="AE23" s="60"/>
      <c r="AF23" s="60"/>
      <c r="AG23" s="60"/>
      <c r="AH23" s="60"/>
      <c r="AI23" s="60"/>
      <c r="AJ23" s="60"/>
      <c r="AK23" s="60"/>
      <c r="AL23" s="60"/>
      <c r="AM23" s="60"/>
      <c r="AN23" s="60"/>
      <c r="AO23" s="60"/>
      <c r="AP23" s="60"/>
      <c r="AQ23" s="59">
        <v>0</v>
      </c>
      <c r="AR23" s="127">
        <f t="shared" si="7"/>
        <v>0</v>
      </c>
      <c r="AS23" s="131">
        <f t="shared" si="11"/>
        <v>0</v>
      </c>
      <c r="AT23" s="129">
        <f t="shared" si="8"/>
        <v>0</v>
      </c>
      <c r="AU23" s="180">
        <f t="shared" si="2"/>
        <v>0</v>
      </c>
      <c r="AV23" s="271">
        <f t="shared" si="3"/>
        <v>0</v>
      </c>
      <c r="AW23" s="279">
        <f t="shared" si="9"/>
        <v>0</v>
      </c>
      <c r="AX23" s="302">
        <f t="shared" si="10"/>
        <v>0</v>
      </c>
      <c r="AY23" s="109"/>
      <c r="AZ23" s="110"/>
      <c r="BA23" s="110"/>
      <c r="BB23" s="110"/>
      <c r="BC23" s="110"/>
      <c r="BD23" s="110"/>
      <c r="BE23" s="110"/>
      <c r="BF23" s="110"/>
      <c r="BG23" s="110"/>
      <c r="BH23" s="110"/>
      <c r="BI23" s="264">
        <f>_xlfn.XLOOKUP((_xlfn.CONCAT(A23,B23)),Picklist!$O$3:$O$292,Picklist!$Q$3:$Q$292,"",0)</f>
        <v>0</v>
      </c>
      <c r="BJ23" s="266">
        <f t="shared" si="4"/>
        <v>0</v>
      </c>
      <c r="BK23" s="265">
        <f t="shared" si="5"/>
        <v>0</v>
      </c>
      <c r="BL23" s="303">
        <f t="shared" si="6"/>
        <v>0</v>
      </c>
      <c r="BM23" s="111"/>
      <c r="BN23" s="111"/>
      <c r="BO23" s="111"/>
      <c r="BP23" s="111"/>
      <c r="BQ23" s="111"/>
      <c r="BR23" s="111"/>
      <c r="BS23" s="111"/>
      <c r="BT23" s="111"/>
      <c r="BU23" s="111"/>
      <c r="BV23" s="111"/>
      <c r="BW23" s="111"/>
      <c r="BX23" s="111"/>
      <c r="BY23" s="111"/>
      <c r="BZ23" s="111"/>
      <c r="CA23" s="111"/>
      <c r="CB23" s="111"/>
      <c r="CC23" s="111"/>
      <c r="CD23" s="111"/>
      <c r="CE23" s="111"/>
      <c r="CF23" s="111"/>
      <c r="CG23" s="111"/>
      <c r="CH23" s="111"/>
      <c r="CI23" s="111"/>
      <c r="CJ23" s="111"/>
      <c r="CK23" s="111"/>
      <c r="CL23" s="111"/>
      <c r="CM23" s="111"/>
      <c r="CN23" s="111"/>
      <c r="CO23" s="111"/>
      <c r="CP23" s="111"/>
    </row>
    <row r="24" spans="1:94" hidden="1" x14ac:dyDescent="0.25">
      <c r="A24" s="57"/>
      <c r="B24" s="57"/>
      <c r="C24" s="57"/>
      <c r="D24" s="56"/>
      <c r="E24" s="47" t="str" cm="1">
        <f t="array" ref="E24">IFERROR(INDEX(_xlfn.TEXTSPLIT(A24,"_"),3),"")</f>
        <v/>
      </c>
      <c r="F24" s="32">
        <f>_xlfn.XLOOKUP(_xlfn.CONCAT(A24,B24),Picklist!$O$3:$O$332,Picklist!$P$3:$P$332,"Choose Existing Role",0)</f>
        <v>0</v>
      </c>
      <c r="G24" s="254"/>
      <c r="H24" s="254"/>
      <c r="I24" s="254"/>
      <c r="J24" s="60"/>
      <c r="K24" s="60"/>
      <c r="L24" s="60"/>
      <c r="M24" s="60"/>
      <c r="N24" s="60"/>
      <c r="O24" s="60"/>
      <c r="P24" s="60"/>
      <c r="Q24" s="60"/>
      <c r="R24" s="60"/>
      <c r="S24" s="60"/>
      <c r="T24" s="60"/>
      <c r="U24" s="60"/>
      <c r="V24" s="60"/>
      <c r="W24" s="60"/>
      <c r="X24" s="60"/>
      <c r="Y24" s="60"/>
      <c r="Z24" s="60"/>
      <c r="AA24" s="60"/>
      <c r="AB24" s="60"/>
      <c r="AC24" s="60"/>
      <c r="AD24" s="60"/>
      <c r="AE24" s="60"/>
      <c r="AF24" s="60"/>
      <c r="AG24" s="60"/>
      <c r="AH24" s="60"/>
      <c r="AI24" s="60"/>
      <c r="AJ24" s="60"/>
      <c r="AK24" s="60"/>
      <c r="AL24" s="60"/>
      <c r="AM24" s="60"/>
      <c r="AN24" s="60"/>
      <c r="AO24" s="60"/>
      <c r="AP24" s="60"/>
      <c r="AQ24" s="59">
        <v>0</v>
      </c>
      <c r="AR24" s="127">
        <f t="shared" si="7"/>
        <v>0</v>
      </c>
      <c r="AS24" s="131">
        <f t="shared" si="11"/>
        <v>0</v>
      </c>
      <c r="AT24" s="129">
        <f t="shared" si="8"/>
        <v>0</v>
      </c>
      <c r="AU24" s="180">
        <f t="shared" si="2"/>
        <v>0</v>
      </c>
      <c r="AV24" s="271">
        <f t="shared" si="3"/>
        <v>0</v>
      </c>
      <c r="AW24" s="279">
        <f t="shared" si="9"/>
        <v>0</v>
      </c>
      <c r="AX24" s="302">
        <f t="shared" si="10"/>
        <v>0</v>
      </c>
      <c r="AY24" s="109"/>
      <c r="AZ24" s="110"/>
      <c r="BA24" s="110"/>
      <c r="BB24" s="110"/>
      <c r="BC24" s="110"/>
      <c r="BD24" s="110"/>
      <c r="BE24" s="110"/>
      <c r="BF24" s="110"/>
      <c r="BG24" s="110"/>
      <c r="BH24" s="110"/>
      <c r="BI24" s="264">
        <f>_xlfn.XLOOKUP((_xlfn.CONCAT(A24,B24)),Picklist!$O$3:$O$292,Picklist!$Q$3:$Q$292,"",0)</f>
        <v>0</v>
      </c>
      <c r="BJ24" s="266">
        <f t="shared" si="4"/>
        <v>0</v>
      </c>
      <c r="BK24" s="265">
        <f t="shared" si="5"/>
        <v>0</v>
      </c>
      <c r="BL24" s="303">
        <f t="shared" si="6"/>
        <v>0</v>
      </c>
      <c r="BM24" s="111"/>
      <c r="BN24" s="111"/>
      <c r="BO24" s="111"/>
      <c r="BP24" s="111"/>
      <c r="BQ24" s="111"/>
      <c r="BR24" s="111"/>
      <c r="BS24" s="111"/>
      <c r="BT24" s="111"/>
      <c r="BU24" s="111"/>
      <c r="BV24" s="111"/>
      <c r="BW24" s="111"/>
      <c r="BX24" s="111"/>
      <c r="BY24" s="111"/>
      <c r="BZ24" s="111"/>
      <c r="CA24" s="111"/>
      <c r="CB24" s="111"/>
      <c r="CC24" s="111"/>
      <c r="CD24" s="111"/>
      <c r="CE24" s="111"/>
      <c r="CF24" s="111"/>
      <c r="CG24" s="111"/>
      <c r="CH24" s="111"/>
      <c r="CI24" s="111"/>
      <c r="CJ24" s="111"/>
      <c r="CK24" s="111"/>
      <c r="CL24" s="111"/>
      <c r="CM24" s="111"/>
      <c r="CN24" s="111"/>
      <c r="CO24" s="111"/>
      <c r="CP24" s="111"/>
    </row>
    <row r="25" spans="1:94" hidden="1" x14ac:dyDescent="0.25">
      <c r="A25" s="57"/>
      <c r="B25" s="57"/>
      <c r="C25" s="57"/>
      <c r="D25" s="56"/>
      <c r="E25" s="47" t="str" cm="1">
        <f t="array" ref="E25">IFERROR(INDEX(_xlfn.TEXTSPLIT(A25,"_"),3),"")</f>
        <v/>
      </c>
      <c r="F25" s="32">
        <f>_xlfn.XLOOKUP(_xlfn.CONCAT(A25,B25),Picklist!$O$3:$O$332,Picklist!$P$3:$P$332,"Choose Existing Role",0)</f>
        <v>0</v>
      </c>
      <c r="G25" s="254"/>
      <c r="H25" s="254"/>
      <c r="I25" s="254"/>
      <c r="J25" s="60"/>
      <c r="K25" s="60"/>
      <c r="L25" s="60"/>
      <c r="M25" s="60"/>
      <c r="N25" s="60"/>
      <c r="O25" s="60"/>
      <c r="P25" s="60"/>
      <c r="Q25" s="60"/>
      <c r="R25" s="60"/>
      <c r="S25" s="60"/>
      <c r="T25" s="60"/>
      <c r="U25" s="60"/>
      <c r="V25" s="60"/>
      <c r="W25" s="60"/>
      <c r="X25" s="60"/>
      <c r="Y25" s="60"/>
      <c r="Z25" s="60"/>
      <c r="AA25" s="60"/>
      <c r="AB25" s="60"/>
      <c r="AC25" s="60"/>
      <c r="AD25" s="60"/>
      <c r="AE25" s="60"/>
      <c r="AF25" s="60"/>
      <c r="AG25" s="60"/>
      <c r="AH25" s="60"/>
      <c r="AI25" s="60"/>
      <c r="AJ25" s="60"/>
      <c r="AK25" s="60"/>
      <c r="AL25" s="60"/>
      <c r="AM25" s="60"/>
      <c r="AN25" s="60"/>
      <c r="AO25" s="60"/>
      <c r="AP25" s="60"/>
      <c r="AQ25" s="59">
        <v>0</v>
      </c>
      <c r="AR25" s="127">
        <f t="shared" si="7"/>
        <v>0</v>
      </c>
      <c r="AS25" s="131">
        <f t="shared" si="11"/>
        <v>0</v>
      </c>
      <c r="AT25" s="129">
        <f t="shared" si="8"/>
        <v>0</v>
      </c>
      <c r="AU25" s="180">
        <f t="shared" si="2"/>
        <v>0</v>
      </c>
      <c r="AV25" s="271">
        <f t="shared" si="3"/>
        <v>0</v>
      </c>
      <c r="AW25" s="279">
        <f t="shared" si="9"/>
        <v>0</v>
      </c>
      <c r="AX25" s="302">
        <f t="shared" si="10"/>
        <v>0</v>
      </c>
      <c r="AY25" s="109"/>
      <c r="AZ25" s="110"/>
      <c r="BA25" s="110"/>
      <c r="BB25" s="110"/>
      <c r="BC25" s="110"/>
      <c r="BD25" s="110"/>
      <c r="BE25" s="110"/>
      <c r="BF25" s="110"/>
      <c r="BG25" s="110"/>
      <c r="BH25" s="110"/>
      <c r="BI25" s="264">
        <f>_xlfn.XLOOKUP((_xlfn.CONCAT(A25,B25)),Picklist!$O$3:$O$292,Picklist!$Q$3:$Q$292,"",0)</f>
        <v>0</v>
      </c>
      <c r="BJ25" s="266">
        <f t="shared" si="4"/>
        <v>0</v>
      </c>
      <c r="BK25" s="265">
        <f t="shared" si="5"/>
        <v>0</v>
      </c>
      <c r="BL25" s="303">
        <f t="shared" si="6"/>
        <v>0</v>
      </c>
      <c r="BM25" s="111"/>
      <c r="BN25" s="111"/>
      <c r="BO25" s="111"/>
      <c r="BP25" s="111"/>
      <c r="BQ25" s="111"/>
      <c r="BR25" s="111"/>
      <c r="BS25" s="111"/>
      <c r="BT25" s="111"/>
      <c r="BU25" s="111"/>
      <c r="BV25" s="111"/>
      <c r="BW25" s="111"/>
      <c r="BX25" s="111"/>
      <c r="BY25" s="111"/>
      <c r="BZ25" s="111"/>
      <c r="CA25" s="111"/>
      <c r="CB25" s="111"/>
      <c r="CC25" s="111"/>
      <c r="CD25" s="111"/>
      <c r="CE25" s="111"/>
      <c r="CF25" s="111"/>
      <c r="CG25" s="111"/>
      <c r="CH25" s="111"/>
      <c r="CI25" s="111"/>
      <c r="CJ25" s="111"/>
      <c r="CK25" s="111"/>
      <c r="CL25" s="111"/>
      <c r="CM25" s="111"/>
      <c r="CN25" s="111"/>
      <c r="CO25" s="111"/>
      <c r="CP25" s="111"/>
    </row>
    <row r="26" spans="1:94" hidden="1" x14ac:dyDescent="0.25">
      <c r="A26" s="57"/>
      <c r="B26" s="57"/>
      <c r="C26" s="57"/>
      <c r="D26" s="56"/>
      <c r="E26" s="47" t="str" cm="1">
        <f t="array" ref="E26">IFERROR(INDEX(_xlfn.TEXTSPLIT(A26,"_"),3),"")</f>
        <v/>
      </c>
      <c r="F26" s="32">
        <f>_xlfn.XLOOKUP(_xlfn.CONCAT(A26,B26),Picklist!$O$3:$O$332,Picklist!$P$3:$P$332,"Choose Existing Role",0)</f>
        <v>0</v>
      </c>
      <c r="G26" s="254"/>
      <c r="H26" s="254"/>
      <c r="I26" s="254"/>
      <c r="J26" s="60"/>
      <c r="K26" s="60"/>
      <c r="L26" s="60"/>
      <c r="M26" s="60"/>
      <c r="N26" s="60"/>
      <c r="O26" s="60"/>
      <c r="P26" s="60"/>
      <c r="Q26" s="60"/>
      <c r="R26" s="60"/>
      <c r="S26" s="60"/>
      <c r="T26" s="60"/>
      <c r="U26" s="60"/>
      <c r="V26" s="60"/>
      <c r="W26" s="60"/>
      <c r="X26" s="60"/>
      <c r="Y26" s="60"/>
      <c r="Z26" s="60"/>
      <c r="AA26" s="60"/>
      <c r="AB26" s="60"/>
      <c r="AC26" s="60"/>
      <c r="AD26" s="60"/>
      <c r="AE26" s="60"/>
      <c r="AF26" s="60"/>
      <c r="AG26" s="60"/>
      <c r="AH26" s="60"/>
      <c r="AI26" s="60"/>
      <c r="AJ26" s="60"/>
      <c r="AK26" s="60"/>
      <c r="AL26" s="60"/>
      <c r="AM26" s="60"/>
      <c r="AN26" s="60"/>
      <c r="AO26" s="60"/>
      <c r="AP26" s="60"/>
      <c r="AQ26" s="59">
        <v>0</v>
      </c>
      <c r="AR26" s="127">
        <f t="shared" si="7"/>
        <v>0</v>
      </c>
      <c r="AS26" s="131">
        <f t="shared" si="11"/>
        <v>0</v>
      </c>
      <c r="AT26" s="129">
        <f t="shared" si="8"/>
        <v>0</v>
      </c>
      <c r="AU26" s="180">
        <f t="shared" si="2"/>
        <v>0</v>
      </c>
      <c r="AV26" s="271">
        <f t="shared" si="3"/>
        <v>0</v>
      </c>
      <c r="AW26" s="279">
        <f t="shared" si="9"/>
        <v>0</v>
      </c>
      <c r="AX26" s="302">
        <f t="shared" si="10"/>
        <v>0</v>
      </c>
      <c r="AY26" s="109"/>
      <c r="AZ26" s="110"/>
      <c r="BA26" s="110"/>
      <c r="BB26" s="110"/>
      <c r="BC26" s="110"/>
      <c r="BD26" s="110"/>
      <c r="BE26" s="110"/>
      <c r="BF26" s="110"/>
      <c r="BG26" s="110"/>
      <c r="BH26" s="110"/>
      <c r="BI26" s="264">
        <f>_xlfn.XLOOKUP((_xlfn.CONCAT(A26,B26)),Picklist!$O$3:$O$292,Picklist!$Q$3:$Q$292,"",0)</f>
        <v>0</v>
      </c>
      <c r="BJ26" s="266">
        <f t="shared" si="4"/>
        <v>0</v>
      </c>
      <c r="BK26" s="265">
        <f t="shared" si="5"/>
        <v>0</v>
      </c>
      <c r="BL26" s="303">
        <f t="shared" si="6"/>
        <v>0</v>
      </c>
      <c r="BM26" s="111"/>
      <c r="BN26" s="111"/>
      <c r="BO26" s="111"/>
      <c r="BP26" s="111"/>
      <c r="BQ26" s="111"/>
      <c r="BR26" s="111"/>
      <c r="BS26" s="111"/>
      <c r="BT26" s="111"/>
      <c r="BU26" s="111"/>
      <c r="BV26" s="111"/>
      <c r="BW26" s="111"/>
      <c r="BX26" s="111"/>
      <c r="BY26" s="111"/>
      <c r="BZ26" s="111"/>
      <c r="CA26" s="111"/>
      <c r="CB26" s="111"/>
      <c r="CC26" s="111"/>
      <c r="CD26" s="111"/>
      <c r="CE26" s="111"/>
      <c r="CF26" s="111"/>
      <c r="CG26" s="111"/>
      <c r="CH26" s="111"/>
      <c r="CI26" s="111"/>
      <c r="CJ26" s="111"/>
      <c r="CK26" s="111"/>
      <c r="CL26" s="111"/>
      <c r="CM26" s="111"/>
      <c r="CN26" s="111"/>
      <c r="CO26" s="111"/>
      <c r="CP26" s="111"/>
    </row>
    <row r="27" spans="1:94" hidden="1" x14ac:dyDescent="0.25">
      <c r="A27" s="57"/>
      <c r="B27" s="57"/>
      <c r="C27" s="57"/>
      <c r="D27" s="56"/>
      <c r="E27" s="47" t="str" cm="1">
        <f t="array" ref="E27">IFERROR(INDEX(_xlfn.TEXTSPLIT(A27,"_"),3),"")</f>
        <v/>
      </c>
      <c r="F27" s="32">
        <f>_xlfn.XLOOKUP(_xlfn.CONCAT(A27,B27),Picklist!$O$3:$O$332,Picklist!$P$3:$P$332,"Choose Existing Role",0)</f>
        <v>0</v>
      </c>
      <c r="G27" s="254"/>
      <c r="H27" s="254"/>
      <c r="I27" s="254"/>
      <c r="J27" s="60"/>
      <c r="K27" s="60"/>
      <c r="L27" s="60"/>
      <c r="M27" s="60"/>
      <c r="N27" s="60"/>
      <c r="O27" s="60"/>
      <c r="P27" s="60"/>
      <c r="Q27" s="60"/>
      <c r="R27" s="60"/>
      <c r="S27" s="60"/>
      <c r="T27" s="60"/>
      <c r="U27" s="60"/>
      <c r="V27" s="60"/>
      <c r="W27" s="60"/>
      <c r="X27" s="60"/>
      <c r="Y27" s="60"/>
      <c r="Z27" s="60"/>
      <c r="AA27" s="60"/>
      <c r="AB27" s="60"/>
      <c r="AC27" s="60"/>
      <c r="AD27" s="60"/>
      <c r="AE27" s="60"/>
      <c r="AF27" s="60"/>
      <c r="AG27" s="60"/>
      <c r="AH27" s="60"/>
      <c r="AI27" s="60"/>
      <c r="AJ27" s="60"/>
      <c r="AK27" s="60"/>
      <c r="AL27" s="60"/>
      <c r="AM27" s="60"/>
      <c r="AN27" s="60"/>
      <c r="AO27" s="60"/>
      <c r="AP27" s="60"/>
      <c r="AQ27" s="59">
        <v>0</v>
      </c>
      <c r="AR27" s="127">
        <f t="shared" si="7"/>
        <v>0</v>
      </c>
      <c r="AS27" s="131">
        <f t="shared" si="11"/>
        <v>0</v>
      </c>
      <c r="AT27" s="129">
        <f t="shared" si="8"/>
        <v>0</v>
      </c>
      <c r="AU27" s="180">
        <f t="shared" si="2"/>
        <v>0</v>
      </c>
      <c r="AV27" s="271">
        <f t="shared" si="3"/>
        <v>0</v>
      </c>
      <c r="AW27" s="279">
        <f t="shared" si="9"/>
        <v>0</v>
      </c>
      <c r="AX27" s="302">
        <f t="shared" si="10"/>
        <v>0</v>
      </c>
      <c r="AY27" s="109"/>
      <c r="AZ27" s="110"/>
      <c r="BA27" s="110"/>
      <c r="BB27" s="110"/>
      <c r="BC27" s="110"/>
      <c r="BD27" s="110"/>
      <c r="BE27" s="110"/>
      <c r="BF27" s="110"/>
      <c r="BG27" s="110"/>
      <c r="BH27" s="110"/>
      <c r="BI27" s="264">
        <f>_xlfn.XLOOKUP((_xlfn.CONCAT(A27,B27)),Picklist!$O$3:$O$292,Picklist!$Q$3:$Q$292,"",0)</f>
        <v>0</v>
      </c>
      <c r="BJ27" s="266">
        <f t="shared" si="4"/>
        <v>0</v>
      </c>
      <c r="BK27" s="265">
        <f t="shared" si="5"/>
        <v>0</v>
      </c>
      <c r="BL27" s="303">
        <f t="shared" si="6"/>
        <v>0</v>
      </c>
      <c r="BM27" s="111"/>
      <c r="BN27" s="111"/>
      <c r="BO27" s="111"/>
      <c r="BP27" s="111"/>
      <c r="BQ27" s="111"/>
      <c r="BR27" s="111"/>
      <c r="BS27" s="111"/>
      <c r="BT27" s="111"/>
      <c r="BU27" s="111"/>
      <c r="BV27" s="111"/>
      <c r="BW27" s="111"/>
      <c r="BX27" s="111"/>
      <c r="BY27" s="111"/>
      <c r="BZ27" s="111"/>
      <c r="CA27" s="111"/>
      <c r="CB27" s="111"/>
      <c r="CC27" s="111"/>
      <c r="CD27" s="111"/>
      <c r="CE27" s="111"/>
      <c r="CF27" s="111"/>
      <c r="CG27" s="111"/>
      <c r="CH27" s="111"/>
      <c r="CI27" s="111"/>
      <c r="CJ27" s="111"/>
      <c r="CK27" s="111"/>
      <c r="CL27" s="111"/>
      <c r="CM27" s="111"/>
      <c r="CN27" s="111"/>
      <c r="CO27" s="111"/>
      <c r="CP27" s="111"/>
    </row>
    <row r="28" spans="1:94" hidden="1" x14ac:dyDescent="0.25">
      <c r="A28" s="57"/>
      <c r="B28" s="57"/>
      <c r="C28" s="57"/>
      <c r="D28" s="56"/>
      <c r="E28" s="47" t="str" cm="1">
        <f t="array" ref="E28">IFERROR(INDEX(_xlfn.TEXTSPLIT(A28,"_"),3),"")</f>
        <v/>
      </c>
      <c r="F28" s="32">
        <f>_xlfn.XLOOKUP(_xlfn.CONCAT(A28,B28),Picklist!$O$3:$O$332,Picklist!$P$3:$P$332,"Choose Existing Role",0)</f>
        <v>0</v>
      </c>
      <c r="G28" s="254"/>
      <c r="H28" s="254"/>
      <c r="I28" s="254"/>
      <c r="J28" s="60"/>
      <c r="K28" s="60"/>
      <c r="L28" s="60"/>
      <c r="M28" s="60"/>
      <c r="N28" s="60"/>
      <c r="O28" s="60"/>
      <c r="P28" s="60"/>
      <c r="Q28" s="60"/>
      <c r="R28" s="60"/>
      <c r="S28" s="60"/>
      <c r="T28" s="60"/>
      <c r="U28" s="60"/>
      <c r="V28" s="60"/>
      <c r="W28" s="60"/>
      <c r="X28" s="60"/>
      <c r="Y28" s="60"/>
      <c r="Z28" s="60"/>
      <c r="AA28" s="60"/>
      <c r="AB28" s="60"/>
      <c r="AC28" s="60"/>
      <c r="AD28" s="60"/>
      <c r="AE28" s="60"/>
      <c r="AF28" s="60"/>
      <c r="AG28" s="60"/>
      <c r="AH28" s="60"/>
      <c r="AI28" s="60"/>
      <c r="AJ28" s="60"/>
      <c r="AK28" s="60"/>
      <c r="AL28" s="60"/>
      <c r="AM28" s="60"/>
      <c r="AN28" s="60"/>
      <c r="AO28" s="60"/>
      <c r="AP28" s="60"/>
      <c r="AQ28" s="59">
        <v>0</v>
      </c>
      <c r="AR28" s="127">
        <f t="shared" si="7"/>
        <v>0</v>
      </c>
      <c r="AS28" s="131">
        <f t="shared" si="11"/>
        <v>0</v>
      </c>
      <c r="AT28" s="129">
        <f t="shared" si="8"/>
        <v>0</v>
      </c>
      <c r="AU28" s="180">
        <f t="shared" si="2"/>
        <v>0</v>
      </c>
      <c r="AV28" s="271">
        <f t="shared" si="3"/>
        <v>0</v>
      </c>
      <c r="AW28" s="279">
        <f t="shared" si="9"/>
        <v>0</v>
      </c>
      <c r="AX28" s="302">
        <f t="shared" si="10"/>
        <v>0</v>
      </c>
      <c r="AY28" s="109"/>
      <c r="AZ28" s="110"/>
      <c r="BA28" s="110"/>
      <c r="BB28" s="110"/>
      <c r="BC28" s="110"/>
      <c r="BD28" s="110"/>
      <c r="BE28" s="110"/>
      <c r="BF28" s="110"/>
      <c r="BG28" s="110"/>
      <c r="BH28" s="110"/>
      <c r="BI28" s="264">
        <f>_xlfn.XLOOKUP((_xlfn.CONCAT(A28,B28)),Picklist!$O$3:$O$292,Picklist!$Q$3:$Q$292,"",0)</f>
        <v>0</v>
      </c>
      <c r="BJ28" s="266">
        <f t="shared" si="4"/>
        <v>0</v>
      </c>
      <c r="BK28" s="265">
        <f t="shared" si="5"/>
        <v>0</v>
      </c>
      <c r="BL28" s="303">
        <f t="shared" si="6"/>
        <v>0</v>
      </c>
      <c r="BM28" s="111"/>
      <c r="BN28" s="111"/>
      <c r="BO28" s="111"/>
      <c r="BP28" s="111"/>
      <c r="BQ28" s="111"/>
      <c r="BR28" s="111"/>
      <c r="BS28" s="111"/>
      <c r="BT28" s="111"/>
      <c r="BU28" s="111"/>
      <c r="BV28" s="111"/>
      <c r="BW28" s="111"/>
      <c r="BX28" s="111"/>
      <c r="BY28" s="111"/>
      <c r="BZ28" s="111"/>
      <c r="CA28" s="111"/>
      <c r="CB28" s="111"/>
      <c r="CC28" s="111"/>
      <c r="CD28" s="111"/>
      <c r="CE28" s="111"/>
      <c r="CF28" s="111"/>
      <c r="CG28" s="111"/>
      <c r="CH28" s="111"/>
      <c r="CI28" s="111"/>
      <c r="CJ28" s="111"/>
      <c r="CK28" s="111"/>
      <c r="CL28" s="111"/>
      <c r="CM28" s="111"/>
      <c r="CN28" s="111"/>
      <c r="CO28" s="111"/>
      <c r="CP28" s="111"/>
    </row>
    <row r="29" spans="1:94" hidden="1" x14ac:dyDescent="0.25">
      <c r="A29" s="57"/>
      <c r="B29" s="57"/>
      <c r="C29" s="57"/>
      <c r="D29" s="56"/>
      <c r="E29" s="47" t="str" cm="1">
        <f t="array" ref="E29">IFERROR(INDEX(_xlfn.TEXTSPLIT(A29,"_"),3),"")</f>
        <v/>
      </c>
      <c r="F29" s="32">
        <f>_xlfn.XLOOKUP(_xlfn.CONCAT(A29,B29),Picklist!$O$3:$O$332,Picklist!$P$3:$P$332,"Choose Existing Role",0)</f>
        <v>0</v>
      </c>
      <c r="G29" s="254"/>
      <c r="H29" s="254"/>
      <c r="I29" s="254"/>
      <c r="J29" s="60"/>
      <c r="K29" s="60"/>
      <c r="L29" s="60"/>
      <c r="M29" s="60"/>
      <c r="N29" s="60"/>
      <c r="O29" s="60"/>
      <c r="P29" s="60"/>
      <c r="Q29" s="60"/>
      <c r="R29" s="60"/>
      <c r="S29" s="60"/>
      <c r="T29" s="60"/>
      <c r="U29" s="60"/>
      <c r="V29" s="60"/>
      <c r="W29" s="60"/>
      <c r="X29" s="60"/>
      <c r="Y29" s="60"/>
      <c r="Z29" s="60"/>
      <c r="AA29" s="60"/>
      <c r="AB29" s="60"/>
      <c r="AC29" s="60"/>
      <c r="AD29" s="60"/>
      <c r="AE29" s="60"/>
      <c r="AF29" s="60"/>
      <c r="AG29" s="60"/>
      <c r="AH29" s="60"/>
      <c r="AI29" s="60"/>
      <c r="AJ29" s="60"/>
      <c r="AK29" s="60"/>
      <c r="AL29" s="60"/>
      <c r="AM29" s="60"/>
      <c r="AN29" s="60"/>
      <c r="AO29" s="60"/>
      <c r="AP29" s="60"/>
      <c r="AQ29" s="59">
        <v>0</v>
      </c>
      <c r="AR29" s="127">
        <f t="shared" si="7"/>
        <v>0</v>
      </c>
      <c r="AS29" s="131">
        <f t="shared" si="11"/>
        <v>0</v>
      </c>
      <c r="AT29" s="129">
        <f t="shared" si="8"/>
        <v>0</v>
      </c>
      <c r="AU29" s="180">
        <f t="shared" si="2"/>
        <v>0</v>
      </c>
      <c r="AV29" s="271">
        <f t="shared" si="3"/>
        <v>0</v>
      </c>
      <c r="AW29" s="279">
        <f t="shared" si="9"/>
        <v>0</v>
      </c>
      <c r="AX29" s="302">
        <f t="shared" si="10"/>
        <v>0</v>
      </c>
      <c r="AY29" s="109"/>
      <c r="AZ29" s="110"/>
      <c r="BA29" s="110"/>
      <c r="BB29" s="110"/>
      <c r="BC29" s="110"/>
      <c r="BD29" s="110"/>
      <c r="BE29" s="110"/>
      <c r="BF29" s="110"/>
      <c r="BG29" s="110"/>
      <c r="BH29" s="110"/>
      <c r="BI29" s="264">
        <f>_xlfn.XLOOKUP((_xlfn.CONCAT(A29,B29)),Picklist!$O$3:$O$292,Picklist!$Q$3:$Q$292,"",0)</f>
        <v>0</v>
      </c>
      <c r="BJ29" s="266">
        <f t="shared" si="4"/>
        <v>0</v>
      </c>
      <c r="BK29" s="265">
        <f t="shared" si="5"/>
        <v>0</v>
      </c>
      <c r="BL29" s="303">
        <f t="shared" si="6"/>
        <v>0</v>
      </c>
      <c r="BM29" s="111"/>
      <c r="BN29" s="111"/>
      <c r="BO29" s="111"/>
      <c r="BP29" s="111"/>
      <c r="BQ29" s="111"/>
      <c r="BR29" s="111"/>
      <c r="BS29" s="111"/>
      <c r="BT29" s="111"/>
      <c r="BU29" s="111"/>
      <c r="BV29" s="111"/>
      <c r="BW29" s="111"/>
      <c r="BX29" s="111"/>
      <c r="BY29" s="111"/>
      <c r="BZ29" s="111"/>
      <c r="CA29" s="111"/>
      <c r="CB29" s="111"/>
      <c r="CC29" s="111"/>
      <c r="CD29" s="111"/>
      <c r="CE29" s="111"/>
      <c r="CF29" s="111"/>
      <c r="CG29" s="111"/>
      <c r="CH29" s="111"/>
      <c r="CI29" s="111"/>
      <c r="CJ29" s="111"/>
      <c r="CK29" s="111"/>
      <c r="CL29" s="111"/>
      <c r="CM29" s="111"/>
      <c r="CN29" s="111"/>
      <c r="CO29" s="111"/>
      <c r="CP29" s="111"/>
    </row>
    <row r="30" spans="1:94" hidden="1" x14ac:dyDescent="0.25">
      <c r="A30" s="57"/>
      <c r="B30" s="57"/>
      <c r="C30" s="57"/>
      <c r="D30" s="56"/>
      <c r="E30" s="47" t="str" cm="1">
        <f t="array" ref="E30">IFERROR(INDEX(_xlfn.TEXTSPLIT(A30,"_"),3),"")</f>
        <v/>
      </c>
      <c r="F30" s="32">
        <f>_xlfn.XLOOKUP(_xlfn.CONCAT(A30,B30),Picklist!$O$3:$O$332,Picklist!$P$3:$P$332,"Choose Existing Role",0)</f>
        <v>0</v>
      </c>
      <c r="G30" s="254"/>
      <c r="H30" s="254"/>
      <c r="I30" s="254"/>
      <c r="J30" s="60"/>
      <c r="K30" s="60"/>
      <c r="L30" s="60"/>
      <c r="M30" s="60"/>
      <c r="N30" s="60"/>
      <c r="O30" s="60"/>
      <c r="P30" s="60"/>
      <c r="Q30" s="60"/>
      <c r="R30" s="60"/>
      <c r="S30" s="60"/>
      <c r="T30" s="60"/>
      <c r="U30" s="60"/>
      <c r="V30" s="60"/>
      <c r="W30" s="60"/>
      <c r="X30" s="60"/>
      <c r="Y30" s="60"/>
      <c r="Z30" s="60"/>
      <c r="AA30" s="60"/>
      <c r="AB30" s="60"/>
      <c r="AC30" s="60"/>
      <c r="AD30" s="60"/>
      <c r="AE30" s="60"/>
      <c r="AF30" s="60"/>
      <c r="AG30" s="60"/>
      <c r="AH30" s="60"/>
      <c r="AI30" s="60"/>
      <c r="AJ30" s="60"/>
      <c r="AK30" s="60"/>
      <c r="AL30" s="60"/>
      <c r="AM30" s="60"/>
      <c r="AN30" s="60"/>
      <c r="AO30" s="60"/>
      <c r="AP30" s="60"/>
      <c r="AQ30" s="59">
        <v>0</v>
      </c>
      <c r="AR30" s="127">
        <f t="shared" si="7"/>
        <v>0</v>
      </c>
      <c r="AS30" s="131">
        <f t="shared" si="11"/>
        <v>0</v>
      </c>
      <c r="AT30" s="129">
        <f t="shared" si="8"/>
        <v>0</v>
      </c>
      <c r="AU30" s="180">
        <f t="shared" si="2"/>
        <v>0</v>
      </c>
      <c r="AV30" s="271">
        <f t="shared" si="3"/>
        <v>0</v>
      </c>
      <c r="AW30" s="279">
        <f t="shared" si="9"/>
        <v>0</v>
      </c>
      <c r="AX30" s="302">
        <f t="shared" si="10"/>
        <v>0</v>
      </c>
      <c r="AY30" s="109"/>
      <c r="AZ30" s="110"/>
      <c r="BA30" s="110"/>
      <c r="BB30" s="110"/>
      <c r="BC30" s="110"/>
      <c r="BD30" s="110"/>
      <c r="BE30" s="110"/>
      <c r="BF30" s="110"/>
      <c r="BG30" s="110"/>
      <c r="BH30" s="110"/>
      <c r="BI30" s="264">
        <f>_xlfn.XLOOKUP((_xlfn.CONCAT(A30,B30)),Picklist!$O$3:$O$292,Picklist!$Q$3:$Q$292,"",0)</f>
        <v>0</v>
      </c>
      <c r="BJ30" s="266">
        <f t="shared" si="4"/>
        <v>0</v>
      </c>
      <c r="BK30" s="265">
        <f t="shared" si="5"/>
        <v>0</v>
      </c>
      <c r="BL30" s="303">
        <f t="shared" si="6"/>
        <v>0</v>
      </c>
      <c r="BM30" s="111"/>
      <c r="BN30" s="111"/>
      <c r="BO30" s="111"/>
      <c r="BP30" s="111"/>
      <c r="BQ30" s="111"/>
      <c r="BR30" s="111"/>
      <c r="BS30" s="111"/>
      <c r="BT30" s="111"/>
      <c r="BU30" s="111"/>
      <c r="BV30" s="111"/>
      <c r="BW30" s="111"/>
      <c r="BX30" s="111"/>
      <c r="BY30" s="111"/>
      <c r="BZ30" s="111"/>
      <c r="CA30" s="111"/>
      <c r="CB30" s="111"/>
      <c r="CC30" s="111"/>
      <c r="CD30" s="111"/>
      <c r="CE30" s="111"/>
      <c r="CF30" s="111"/>
      <c r="CG30" s="111"/>
      <c r="CH30" s="111"/>
      <c r="CI30" s="111"/>
      <c r="CJ30" s="111"/>
      <c r="CK30" s="111"/>
      <c r="CL30" s="111"/>
      <c r="CM30" s="111"/>
      <c r="CN30" s="111"/>
      <c r="CO30" s="111"/>
      <c r="CP30" s="111"/>
    </row>
    <row r="31" spans="1:94" hidden="1" x14ac:dyDescent="0.25">
      <c r="A31" s="57"/>
      <c r="B31" s="57"/>
      <c r="C31" s="57"/>
      <c r="D31" s="56"/>
      <c r="E31" s="47" t="str" cm="1">
        <f t="array" ref="E31">IFERROR(INDEX(_xlfn.TEXTSPLIT(A31,"_"),3),"")</f>
        <v/>
      </c>
      <c r="F31" s="32">
        <f>_xlfn.XLOOKUP(_xlfn.CONCAT(A31,B31),Picklist!$O$3:$O$332,Picklist!$P$3:$P$332,"Choose Existing Role",0)</f>
        <v>0</v>
      </c>
      <c r="G31" s="254"/>
      <c r="H31" s="254"/>
      <c r="I31" s="254"/>
      <c r="J31" s="60"/>
      <c r="K31" s="60"/>
      <c r="L31" s="60"/>
      <c r="M31" s="60"/>
      <c r="N31" s="60"/>
      <c r="O31" s="60"/>
      <c r="P31" s="60"/>
      <c r="Q31" s="60"/>
      <c r="R31" s="60"/>
      <c r="S31" s="60"/>
      <c r="T31" s="60"/>
      <c r="U31" s="60"/>
      <c r="V31" s="60"/>
      <c r="W31" s="60"/>
      <c r="X31" s="60"/>
      <c r="Y31" s="60"/>
      <c r="Z31" s="60"/>
      <c r="AA31" s="60"/>
      <c r="AB31" s="60"/>
      <c r="AC31" s="60"/>
      <c r="AD31" s="60"/>
      <c r="AE31" s="60"/>
      <c r="AF31" s="60"/>
      <c r="AG31" s="60"/>
      <c r="AH31" s="60"/>
      <c r="AI31" s="60"/>
      <c r="AJ31" s="60"/>
      <c r="AK31" s="60"/>
      <c r="AL31" s="60"/>
      <c r="AM31" s="60"/>
      <c r="AN31" s="60"/>
      <c r="AO31" s="60"/>
      <c r="AP31" s="60"/>
      <c r="AQ31" s="59">
        <v>0</v>
      </c>
      <c r="AR31" s="127">
        <f t="shared" si="7"/>
        <v>0</v>
      </c>
      <c r="AS31" s="131">
        <f t="shared" si="11"/>
        <v>0</v>
      </c>
      <c r="AT31" s="129">
        <f t="shared" si="8"/>
        <v>0</v>
      </c>
      <c r="AU31" s="180">
        <f t="shared" si="2"/>
        <v>0</v>
      </c>
      <c r="AV31" s="271">
        <f t="shared" si="3"/>
        <v>0</v>
      </c>
      <c r="AW31" s="279">
        <f t="shared" si="9"/>
        <v>0</v>
      </c>
      <c r="AX31" s="302">
        <f t="shared" si="10"/>
        <v>0</v>
      </c>
      <c r="AY31" s="109"/>
      <c r="AZ31" s="110"/>
      <c r="BA31" s="110"/>
      <c r="BB31" s="110"/>
      <c r="BC31" s="110"/>
      <c r="BD31" s="110"/>
      <c r="BE31" s="110"/>
      <c r="BF31" s="110"/>
      <c r="BG31" s="110"/>
      <c r="BH31" s="110"/>
      <c r="BI31" s="264">
        <f>_xlfn.XLOOKUP((_xlfn.CONCAT(A31,B31)),Picklist!$O$3:$O$292,Picklist!$Q$3:$Q$292,"",0)</f>
        <v>0</v>
      </c>
      <c r="BJ31" s="266">
        <f t="shared" si="4"/>
        <v>0</v>
      </c>
      <c r="BK31" s="265">
        <f t="shared" si="5"/>
        <v>0</v>
      </c>
      <c r="BL31" s="303">
        <f t="shared" si="6"/>
        <v>0</v>
      </c>
      <c r="BM31" s="111"/>
      <c r="BN31" s="111"/>
      <c r="BO31" s="111"/>
      <c r="BP31" s="111"/>
      <c r="BQ31" s="111"/>
      <c r="BR31" s="111"/>
      <c r="BS31" s="111"/>
      <c r="BT31" s="111"/>
      <c r="BU31" s="111"/>
      <c r="BV31" s="111"/>
      <c r="BW31" s="111"/>
      <c r="BX31" s="111"/>
      <c r="BY31" s="111"/>
      <c r="BZ31" s="111"/>
      <c r="CA31" s="111"/>
      <c r="CB31" s="111"/>
      <c r="CC31" s="111"/>
      <c r="CD31" s="111"/>
      <c r="CE31" s="111"/>
      <c r="CF31" s="111"/>
      <c r="CG31" s="111"/>
      <c r="CH31" s="111"/>
      <c r="CI31" s="111"/>
      <c r="CJ31" s="111"/>
      <c r="CK31" s="111"/>
      <c r="CL31" s="111"/>
      <c r="CM31" s="111"/>
      <c r="CN31" s="111"/>
      <c r="CO31" s="111"/>
      <c r="CP31" s="111"/>
    </row>
    <row r="32" spans="1:94" hidden="1" x14ac:dyDescent="0.25">
      <c r="A32" s="57"/>
      <c r="B32" s="57"/>
      <c r="C32" s="57"/>
      <c r="D32" s="56"/>
      <c r="E32" s="47" t="str" cm="1">
        <f t="array" ref="E32">IFERROR(INDEX(_xlfn.TEXTSPLIT(A32,"_"),3),"")</f>
        <v/>
      </c>
      <c r="F32" s="32">
        <f>_xlfn.XLOOKUP(_xlfn.CONCAT(A32,B32),Picklist!$O$3:$O$332,Picklist!$P$3:$P$332,"Choose Existing Role",0)</f>
        <v>0</v>
      </c>
      <c r="G32" s="254"/>
      <c r="H32" s="254"/>
      <c r="I32" s="254"/>
      <c r="J32" s="60"/>
      <c r="K32" s="60"/>
      <c r="L32" s="60"/>
      <c r="M32" s="60"/>
      <c r="N32" s="60"/>
      <c r="O32" s="60"/>
      <c r="P32" s="60"/>
      <c r="Q32" s="60"/>
      <c r="R32" s="60"/>
      <c r="S32" s="60"/>
      <c r="T32" s="60"/>
      <c r="U32" s="60"/>
      <c r="V32" s="60"/>
      <c r="W32" s="60"/>
      <c r="X32" s="60"/>
      <c r="Y32" s="60"/>
      <c r="Z32" s="60"/>
      <c r="AA32" s="60"/>
      <c r="AB32" s="60"/>
      <c r="AC32" s="60"/>
      <c r="AD32" s="60"/>
      <c r="AE32" s="60"/>
      <c r="AF32" s="60"/>
      <c r="AG32" s="60"/>
      <c r="AH32" s="60"/>
      <c r="AI32" s="60"/>
      <c r="AJ32" s="60"/>
      <c r="AK32" s="60"/>
      <c r="AL32" s="60"/>
      <c r="AM32" s="60"/>
      <c r="AN32" s="60"/>
      <c r="AO32" s="60"/>
      <c r="AP32" s="60"/>
      <c r="AQ32" s="59">
        <v>0</v>
      </c>
      <c r="AR32" s="127">
        <f t="shared" si="7"/>
        <v>0</v>
      </c>
      <c r="AS32" s="131">
        <f t="shared" si="11"/>
        <v>0</v>
      </c>
      <c r="AT32" s="129">
        <f t="shared" si="8"/>
        <v>0</v>
      </c>
      <c r="AU32" s="180">
        <f t="shared" si="2"/>
        <v>0</v>
      </c>
      <c r="AV32" s="271">
        <f t="shared" si="3"/>
        <v>0</v>
      </c>
      <c r="AW32" s="279">
        <f t="shared" si="9"/>
        <v>0</v>
      </c>
      <c r="AX32" s="302">
        <f t="shared" si="10"/>
        <v>0</v>
      </c>
      <c r="AY32" s="109"/>
      <c r="AZ32" s="110"/>
      <c r="BA32" s="110"/>
      <c r="BB32" s="110"/>
      <c r="BC32" s="110"/>
      <c r="BD32" s="110"/>
      <c r="BE32" s="110"/>
      <c r="BF32" s="110"/>
      <c r="BG32" s="110"/>
      <c r="BH32" s="110"/>
      <c r="BI32" s="264">
        <f>_xlfn.XLOOKUP((_xlfn.CONCAT(A32,B32)),Picklist!$O$3:$O$292,Picklist!$Q$3:$Q$292,"",0)</f>
        <v>0</v>
      </c>
      <c r="BJ32" s="266">
        <f t="shared" si="4"/>
        <v>0</v>
      </c>
      <c r="BK32" s="265">
        <f t="shared" si="5"/>
        <v>0</v>
      </c>
      <c r="BL32" s="303">
        <f t="shared" si="6"/>
        <v>0</v>
      </c>
      <c r="BM32" s="111"/>
      <c r="BN32" s="111"/>
      <c r="BO32" s="111"/>
      <c r="BP32" s="111"/>
      <c r="BQ32" s="111"/>
      <c r="BR32" s="111"/>
      <c r="BS32" s="111"/>
      <c r="BT32" s="111"/>
      <c r="BU32" s="111"/>
      <c r="BV32" s="111"/>
      <c r="BW32" s="111"/>
      <c r="BX32" s="111"/>
      <c r="BY32" s="111"/>
      <c r="BZ32" s="111"/>
      <c r="CA32" s="111"/>
      <c r="CB32" s="111"/>
      <c r="CC32" s="111"/>
      <c r="CD32" s="111"/>
      <c r="CE32" s="111"/>
      <c r="CF32" s="111"/>
      <c r="CG32" s="111"/>
      <c r="CH32" s="111"/>
      <c r="CI32" s="111"/>
      <c r="CJ32" s="111"/>
      <c r="CK32" s="111"/>
      <c r="CL32" s="111"/>
      <c r="CM32" s="111"/>
      <c r="CN32" s="111"/>
      <c r="CO32" s="111"/>
      <c r="CP32" s="111"/>
    </row>
    <row r="33" spans="1:94" hidden="1" x14ac:dyDescent="0.25">
      <c r="A33" s="57"/>
      <c r="B33" s="57"/>
      <c r="C33" s="57"/>
      <c r="D33" s="56"/>
      <c r="E33" s="47" t="str" cm="1">
        <f t="array" ref="E33">IFERROR(INDEX(_xlfn.TEXTSPLIT(A33,"_"),3),"")</f>
        <v/>
      </c>
      <c r="F33" s="32">
        <f>_xlfn.XLOOKUP(_xlfn.CONCAT(A33,B33),Picklist!$O$3:$O$332,Picklist!$P$3:$P$332,"Choose Existing Role",0)</f>
        <v>0</v>
      </c>
      <c r="G33" s="254"/>
      <c r="H33" s="254"/>
      <c r="I33" s="254"/>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0"/>
      <c r="AL33" s="60"/>
      <c r="AM33" s="60"/>
      <c r="AN33" s="60"/>
      <c r="AO33" s="60"/>
      <c r="AP33" s="60"/>
      <c r="AQ33" s="59">
        <v>0</v>
      </c>
      <c r="AR33" s="127">
        <f t="shared" si="7"/>
        <v>0</v>
      </c>
      <c r="AS33" s="131">
        <f t="shared" si="11"/>
        <v>0</v>
      </c>
      <c r="AT33" s="129">
        <f t="shared" si="8"/>
        <v>0</v>
      </c>
      <c r="AU33" s="180">
        <f t="shared" si="2"/>
        <v>0</v>
      </c>
      <c r="AV33" s="271">
        <f t="shared" si="3"/>
        <v>0</v>
      </c>
      <c r="AW33" s="279">
        <f t="shared" si="9"/>
        <v>0</v>
      </c>
      <c r="AX33" s="302">
        <f t="shared" si="10"/>
        <v>0</v>
      </c>
      <c r="AY33" s="109"/>
      <c r="AZ33" s="110"/>
      <c r="BA33" s="110"/>
      <c r="BB33" s="110"/>
      <c r="BC33" s="110"/>
      <c r="BD33" s="110"/>
      <c r="BE33" s="110"/>
      <c r="BF33" s="110"/>
      <c r="BG33" s="110"/>
      <c r="BH33" s="110"/>
      <c r="BI33" s="264">
        <f>_xlfn.XLOOKUP((_xlfn.CONCAT(A33,B33)),Picklist!$O$3:$O$292,Picklist!$Q$3:$Q$292,"",0)</f>
        <v>0</v>
      </c>
      <c r="BJ33" s="266">
        <f t="shared" si="4"/>
        <v>0</v>
      </c>
      <c r="BK33" s="265">
        <f t="shared" si="5"/>
        <v>0</v>
      </c>
      <c r="BL33" s="303">
        <f t="shared" si="6"/>
        <v>0</v>
      </c>
      <c r="BM33" s="111"/>
      <c r="BN33" s="111"/>
      <c r="BO33" s="111"/>
      <c r="BP33" s="111"/>
      <c r="BQ33" s="111"/>
      <c r="BR33" s="111"/>
      <c r="BS33" s="111"/>
      <c r="BT33" s="111"/>
      <c r="BU33" s="111"/>
      <c r="BV33" s="111"/>
      <c r="BW33" s="111"/>
      <c r="BX33" s="111"/>
      <c r="BY33" s="111"/>
      <c r="BZ33" s="111"/>
      <c r="CA33" s="111"/>
      <c r="CB33" s="111"/>
      <c r="CC33" s="111"/>
      <c r="CD33" s="111"/>
      <c r="CE33" s="111"/>
      <c r="CF33" s="111"/>
      <c r="CG33" s="111"/>
      <c r="CH33" s="111"/>
      <c r="CI33" s="111"/>
      <c r="CJ33" s="111"/>
      <c r="CK33" s="111"/>
      <c r="CL33" s="111"/>
      <c r="CM33" s="111"/>
      <c r="CN33" s="111"/>
      <c r="CO33" s="111"/>
      <c r="CP33" s="111"/>
    </row>
    <row r="34" spans="1:94" hidden="1" x14ac:dyDescent="0.25">
      <c r="A34" s="57"/>
      <c r="B34" s="57"/>
      <c r="C34" s="57"/>
      <c r="D34" s="56"/>
      <c r="E34" s="47" t="str" cm="1">
        <f t="array" ref="E34">IFERROR(INDEX(_xlfn.TEXTSPLIT(A34,"_"),3),"")</f>
        <v/>
      </c>
      <c r="F34" s="32">
        <f>_xlfn.XLOOKUP(_xlfn.CONCAT(A34,B34),Picklist!$O$3:$O$332,Picklist!$P$3:$P$332,"Choose Existing Role",0)</f>
        <v>0</v>
      </c>
      <c r="G34" s="254"/>
      <c r="H34" s="254"/>
      <c r="I34" s="254"/>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59">
        <v>0</v>
      </c>
      <c r="AR34" s="127">
        <f t="shared" si="7"/>
        <v>0</v>
      </c>
      <c r="AS34" s="131">
        <f t="shared" si="11"/>
        <v>0</v>
      </c>
      <c r="AT34" s="129">
        <f t="shared" si="8"/>
        <v>0</v>
      </c>
      <c r="AU34" s="180">
        <f t="shared" si="2"/>
        <v>0</v>
      </c>
      <c r="AV34" s="271">
        <f t="shared" si="3"/>
        <v>0</v>
      </c>
      <c r="AW34" s="279">
        <f t="shared" si="9"/>
        <v>0</v>
      </c>
      <c r="AX34" s="302">
        <f t="shared" si="10"/>
        <v>0</v>
      </c>
      <c r="AY34" s="109"/>
      <c r="AZ34" s="110"/>
      <c r="BA34" s="110"/>
      <c r="BB34" s="110"/>
      <c r="BC34" s="110"/>
      <c r="BD34" s="110"/>
      <c r="BE34" s="110"/>
      <c r="BF34" s="110"/>
      <c r="BG34" s="110"/>
      <c r="BH34" s="110"/>
      <c r="BI34" s="264">
        <f>_xlfn.XLOOKUP((_xlfn.CONCAT(A34,B34)),Picklist!$O$3:$O$292,Picklist!$Q$3:$Q$292,"",0)</f>
        <v>0</v>
      </c>
      <c r="BJ34" s="266">
        <f t="shared" si="4"/>
        <v>0</v>
      </c>
      <c r="BK34" s="265">
        <f t="shared" si="5"/>
        <v>0</v>
      </c>
      <c r="BL34" s="303">
        <f t="shared" si="6"/>
        <v>0</v>
      </c>
      <c r="BM34" s="111"/>
      <c r="BN34" s="111"/>
      <c r="BO34" s="111"/>
      <c r="BP34" s="111"/>
      <c r="BQ34" s="111"/>
      <c r="BR34" s="111"/>
      <c r="BS34" s="111"/>
      <c r="BT34" s="111"/>
      <c r="BU34" s="111"/>
      <c r="BV34" s="111"/>
      <c r="BW34" s="111"/>
      <c r="BX34" s="111"/>
      <c r="BY34" s="111"/>
      <c r="BZ34" s="111"/>
      <c r="CA34" s="111"/>
      <c r="CB34" s="111"/>
      <c r="CC34" s="111"/>
      <c r="CD34" s="111"/>
      <c r="CE34" s="111"/>
      <c r="CF34" s="111"/>
      <c r="CG34" s="111"/>
      <c r="CH34" s="111"/>
      <c r="CI34" s="111"/>
      <c r="CJ34" s="111"/>
      <c r="CK34" s="111"/>
      <c r="CL34" s="111"/>
      <c r="CM34" s="111"/>
      <c r="CN34" s="111"/>
      <c r="CO34" s="111"/>
      <c r="CP34" s="111"/>
    </row>
    <row r="35" spans="1:94" hidden="1" x14ac:dyDescent="0.25">
      <c r="A35" s="57"/>
      <c r="B35" s="57"/>
      <c r="C35" s="57"/>
      <c r="D35" s="56"/>
      <c r="E35" s="47" t="str" cm="1">
        <f t="array" ref="E35">IFERROR(INDEX(_xlfn.TEXTSPLIT(A35,"_"),3),"")</f>
        <v/>
      </c>
      <c r="F35" s="32">
        <f>_xlfn.XLOOKUP(_xlfn.CONCAT(A35,B35),Picklist!$O$3:$O$332,Picklist!$P$3:$P$332,"Choose Existing Role",0)</f>
        <v>0</v>
      </c>
      <c r="G35" s="254"/>
      <c r="H35" s="254"/>
      <c r="I35" s="254"/>
      <c r="J35" s="60"/>
      <c r="K35" s="60"/>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60"/>
      <c r="AK35" s="60"/>
      <c r="AL35" s="60"/>
      <c r="AM35" s="60"/>
      <c r="AN35" s="60"/>
      <c r="AO35" s="60"/>
      <c r="AP35" s="60"/>
      <c r="AQ35" s="59">
        <v>0</v>
      </c>
      <c r="AR35" s="127">
        <f t="shared" si="7"/>
        <v>0</v>
      </c>
      <c r="AS35" s="131">
        <f t="shared" si="11"/>
        <v>0</v>
      </c>
      <c r="AT35" s="129">
        <f t="shared" si="8"/>
        <v>0</v>
      </c>
      <c r="AU35" s="180">
        <f t="shared" si="2"/>
        <v>0</v>
      </c>
      <c r="AV35" s="271">
        <f t="shared" si="3"/>
        <v>0</v>
      </c>
      <c r="AW35" s="279">
        <f t="shared" si="9"/>
        <v>0</v>
      </c>
      <c r="AX35" s="302">
        <f t="shared" si="10"/>
        <v>0</v>
      </c>
      <c r="AY35" s="109"/>
      <c r="AZ35" s="110"/>
      <c r="BA35" s="110"/>
      <c r="BB35" s="110"/>
      <c r="BC35" s="110"/>
      <c r="BD35" s="110"/>
      <c r="BE35" s="110"/>
      <c r="BF35" s="110"/>
      <c r="BG35" s="110"/>
      <c r="BH35" s="110"/>
      <c r="BI35" s="264">
        <f>_xlfn.XLOOKUP((_xlfn.CONCAT(A35,B35)),Picklist!$O$3:$O$292,Picklist!$Q$3:$Q$292,"",0)</f>
        <v>0</v>
      </c>
      <c r="BJ35" s="266">
        <f t="shared" si="4"/>
        <v>0</v>
      </c>
      <c r="BK35" s="265">
        <f t="shared" si="5"/>
        <v>0</v>
      </c>
      <c r="BL35" s="303">
        <f t="shared" si="6"/>
        <v>0</v>
      </c>
      <c r="BM35" s="111"/>
      <c r="BN35" s="111"/>
      <c r="BO35" s="111"/>
      <c r="BP35" s="111"/>
      <c r="BQ35" s="111"/>
      <c r="BR35" s="111"/>
      <c r="BS35" s="111"/>
      <c r="BT35" s="111"/>
      <c r="BU35" s="111"/>
      <c r="BV35" s="111"/>
      <c r="BW35" s="111"/>
      <c r="BX35" s="111"/>
      <c r="BY35" s="111"/>
      <c r="BZ35" s="111"/>
      <c r="CA35" s="111"/>
      <c r="CB35" s="111"/>
      <c r="CC35" s="111"/>
      <c r="CD35" s="111"/>
      <c r="CE35" s="111"/>
      <c r="CF35" s="111"/>
      <c r="CG35" s="111"/>
      <c r="CH35" s="111"/>
      <c r="CI35" s="111"/>
      <c r="CJ35" s="111"/>
      <c r="CK35" s="111"/>
      <c r="CL35" s="111"/>
      <c r="CM35" s="111"/>
      <c r="CN35" s="111"/>
      <c r="CO35" s="111"/>
      <c r="CP35" s="111"/>
    </row>
    <row r="36" spans="1:94" hidden="1" x14ac:dyDescent="0.25">
      <c r="A36" s="57"/>
      <c r="B36" s="57"/>
      <c r="C36" s="57"/>
      <c r="D36" s="56"/>
      <c r="E36" s="47" t="str" cm="1">
        <f t="array" ref="E36">IFERROR(INDEX(_xlfn.TEXTSPLIT(A36,"_"),3),"")</f>
        <v/>
      </c>
      <c r="F36" s="32">
        <f>_xlfn.XLOOKUP(_xlfn.CONCAT(A36,B36),Picklist!$O$3:$O$332,Picklist!$P$3:$P$332,"Choose Existing Role",0)</f>
        <v>0</v>
      </c>
      <c r="G36" s="254"/>
      <c r="H36" s="254"/>
      <c r="I36" s="254"/>
      <c r="J36" s="60"/>
      <c r="K36" s="60"/>
      <c r="L36" s="60"/>
      <c r="M36" s="60"/>
      <c r="N36" s="60"/>
      <c r="O36" s="60"/>
      <c r="P36" s="60"/>
      <c r="Q36" s="60"/>
      <c r="R36" s="60"/>
      <c r="S36" s="60"/>
      <c r="T36" s="60"/>
      <c r="U36" s="60"/>
      <c r="V36" s="60"/>
      <c r="W36" s="60"/>
      <c r="X36" s="60"/>
      <c r="Y36" s="60"/>
      <c r="Z36" s="60"/>
      <c r="AA36" s="60"/>
      <c r="AB36" s="60"/>
      <c r="AC36" s="60"/>
      <c r="AD36" s="60"/>
      <c r="AE36" s="60"/>
      <c r="AF36" s="60"/>
      <c r="AG36" s="60"/>
      <c r="AH36" s="60"/>
      <c r="AI36" s="60"/>
      <c r="AJ36" s="60"/>
      <c r="AK36" s="60"/>
      <c r="AL36" s="60"/>
      <c r="AM36" s="60"/>
      <c r="AN36" s="60"/>
      <c r="AO36" s="60"/>
      <c r="AP36" s="60"/>
      <c r="AQ36" s="59">
        <v>0</v>
      </c>
      <c r="AR36" s="127">
        <f t="shared" si="7"/>
        <v>0</v>
      </c>
      <c r="AS36" s="131">
        <f t="shared" si="11"/>
        <v>0</v>
      </c>
      <c r="AT36" s="129">
        <f t="shared" si="8"/>
        <v>0</v>
      </c>
      <c r="AU36" s="180">
        <f t="shared" si="2"/>
        <v>0</v>
      </c>
      <c r="AV36" s="271">
        <f t="shared" si="3"/>
        <v>0</v>
      </c>
      <c r="AW36" s="279">
        <f t="shared" si="9"/>
        <v>0</v>
      </c>
      <c r="AX36" s="302">
        <f t="shared" si="10"/>
        <v>0</v>
      </c>
      <c r="AY36" s="109"/>
      <c r="AZ36" s="110"/>
      <c r="BA36" s="110"/>
      <c r="BB36" s="110"/>
      <c r="BC36" s="110"/>
      <c r="BD36" s="110"/>
      <c r="BE36" s="110"/>
      <c r="BF36" s="110"/>
      <c r="BG36" s="110"/>
      <c r="BH36" s="110"/>
      <c r="BI36" s="264">
        <f>_xlfn.XLOOKUP((_xlfn.CONCAT(A36,B36)),Picklist!$O$3:$O$292,Picklist!$Q$3:$Q$292,"",0)</f>
        <v>0</v>
      </c>
      <c r="BJ36" s="266">
        <f t="shared" si="4"/>
        <v>0</v>
      </c>
      <c r="BK36" s="265">
        <f t="shared" si="5"/>
        <v>0</v>
      </c>
      <c r="BL36" s="303">
        <f t="shared" si="6"/>
        <v>0</v>
      </c>
      <c r="BM36" s="111"/>
      <c r="BN36" s="111"/>
      <c r="BO36" s="111"/>
      <c r="BP36" s="111"/>
      <c r="BQ36" s="111"/>
      <c r="BR36" s="111"/>
      <c r="BS36" s="111"/>
      <c r="BT36" s="111"/>
      <c r="BU36" s="111"/>
      <c r="BV36" s="111"/>
      <c r="BW36" s="111"/>
      <c r="BX36" s="111"/>
      <c r="BY36" s="111"/>
      <c r="BZ36" s="111"/>
      <c r="CA36" s="111"/>
      <c r="CB36" s="111"/>
      <c r="CC36" s="111"/>
      <c r="CD36" s="111"/>
      <c r="CE36" s="111"/>
      <c r="CF36" s="111"/>
      <c r="CG36" s="111"/>
      <c r="CH36" s="111"/>
      <c r="CI36" s="111"/>
      <c r="CJ36" s="111"/>
      <c r="CK36" s="111"/>
      <c r="CL36" s="111"/>
      <c r="CM36" s="111"/>
      <c r="CN36" s="111"/>
      <c r="CO36" s="111"/>
      <c r="CP36" s="111"/>
    </row>
    <row r="37" spans="1:94" hidden="1" x14ac:dyDescent="0.25">
      <c r="A37" s="57"/>
      <c r="B37" s="57"/>
      <c r="C37" s="57"/>
      <c r="D37" s="56"/>
      <c r="E37" s="47" t="str" cm="1">
        <f t="array" ref="E37">IFERROR(INDEX(_xlfn.TEXTSPLIT(A37,"_"),3),"")</f>
        <v/>
      </c>
      <c r="F37" s="32">
        <f>_xlfn.XLOOKUP(_xlfn.CONCAT(A37,B37),Picklist!$O$3:$O$332,Picklist!$P$3:$P$332,"Choose Existing Role",0)</f>
        <v>0</v>
      </c>
      <c r="G37" s="254"/>
      <c r="H37" s="254"/>
      <c r="I37" s="254"/>
      <c r="J37" s="60"/>
      <c r="K37" s="60"/>
      <c r="L37" s="60"/>
      <c r="M37" s="60"/>
      <c r="N37" s="60"/>
      <c r="O37" s="60"/>
      <c r="P37" s="60"/>
      <c r="Q37" s="60"/>
      <c r="R37" s="60"/>
      <c r="S37" s="60"/>
      <c r="T37" s="60"/>
      <c r="U37" s="60"/>
      <c r="V37" s="60"/>
      <c r="W37" s="60"/>
      <c r="X37" s="60"/>
      <c r="Y37" s="60"/>
      <c r="Z37" s="60"/>
      <c r="AA37" s="60"/>
      <c r="AB37" s="60"/>
      <c r="AC37" s="60"/>
      <c r="AD37" s="60"/>
      <c r="AE37" s="60"/>
      <c r="AF37" s="60"/>
      <c r="AG37" s="60"/>
      <c r="AH37" s="60"/>
      <c r="AI37" s="60"/>
      <c r="AJ37" s="60"/>
      <c r="AK37" s="60"/>
      <c r="AL37" s="60"/>
      <c r="AM37" s="60"/>
      <c r="AN37" s="60"/>
      <c r="AO37" s="60"/>
      <c r="AP37" s="60"/>
      <c r="AQ37" s="59">
        <v>0</v>
      </c>
      <c r="AR37" s="127">
        <f t="shared" si="7"/>
        <v>0</v>
      </c>
      <c r="AS37" s="131">
        <f t="shared" si="11"/>
        <v>0</v>
      </c>
      <c r="AT37" s="129">
        <f t="shared" si="8"/>
        <v>0</v>
      </c>
      <c r="AU37" s="180">
        <f t="shared" si="2"/>
        <v>0</v>
      </c>
      <c r="AV37" s="271">
        <f t="shared" si="3"/>
        <v>0</v>
      </c>
      <c r="AW37" s="279">
        <f t="shared" si="9"/>
        <v>0</v>
      </c>
      <c r="AX37" s="302">
        <f t="shared" si="10"/>
        <v>0</v>
      </c>
      <c r="AY37" s="109"/>
      <c r="AZ37" s="110"/>
      <c r="BA37" s="110"/>
      <c r="BB37" s="110"/>
      <c r="BC37" s="110"/>
      <c r="BD37" s="110"/>
      <c r="BE37" s="110"/>
      <c r="BF37" s="110"/>
      <c r="BG37" s="110"/>
      <c r="BH37" s="110"/>
      <c r="BI37" s="264">
        <f>_xlfn.XLOOKUP((_xlfn.CONCAT(A37,B37)),Picklist!$O$3:$O$292,Picklist!$Q$3:$Q$292,"",0)</f>
        <v>0</v>
      </c>
      <c r="BJ37" s="266">
        <f t="shared" si="4"/>
        <v>0</v>
      </c>
      <c r="BK37" s="265">
        <f t="shared" si="5"/>
        <v>0</v>
      </c>
      <c r="BL37" s="303">
        <f t="shared" si="6"/>
        <v>0</v>
      </c>
      <c r="BM37" s="111"/>
      <c r="BN37" s="111"/>
      <c r="BO37" s="111"/>
      <c r="BP37" s="111"/>
      <c r="BQ37" s="111"/>
      <c r="BR37" s="111"/>
      <c r="BS37" s="111"/>
      <c r="BT37" s="111"/>
      <c r="BU37" s="111"/>
      <c r="BV37" s="111"/>
      <c r="BW37" s="111"/>
      <c r="BX37" s="111"/>
      <c r="BY37" s="111"/>
      <c r="BZ37" s="111"/>
      <c r="CA37" s="111"/>
      <c r="CB37" s="111"/>
      <c r="CC37" s="111"/>
      <c r="CD37" s="111"/>
      <c r="CE37" s="111"/>
      <c r="CF37" s="111"/>
      <c r="CG37" s="111"/>
      <c r="CH37" s="111"/>
      <c r="CI37" s="111"/>
      <c r="CJ37" s="111"/>
      <c r="CK37" s="111"/>
      <c r="CL37" s="111"/>
      <c r="CM37" s="111"/>
      <c r="CN37" s="111"/>
      <c r="CO37" s="111"/>
      <c r="CP37" s="111"/>
    </row>
    <row r="38" spans="1:94" hidden="1" x14ac:dyDescent="0.25">
      <c r="A38" s="57"/>
      <c r="B38" s="57"/>
      <c r="C38" s="57"/>
      <c r="D38" s="56"/>
      <c r="E38" s="47" t="str" cm="1">
        <f t="array" ref="E38">IFERROR(INDEX(_xlfn.TEXTSPLIT(A38,"_"),3),"")</f>
        <v/>
      </c>
      <c r="F38" s="32">
        <f>_xlfn.XLOOKUP(_xlfn.CONCAT(A38,B38),Picklist!$O$3:$O$332,Picklist!$P$3:$P$332,"Choose Existing Role",0)</f>
        <v>0</v>
      </c>
      <c r="G38" s="254"/>
      <c r="H38" s="254"/>
      <c r="I38" s="254"/>
      <c r="J38" s="60"/>
      <c r="K38" s="60"/>
      <c r="L38" s="60"/>
      <c r="M38" s="60"/>
      <c r="N38" s="60"/>
      <c r="O38" s="60"/>
      <c r="P38" s="60"/>
      <c r="Q38" s="60"/>
      <c r="R38" s="60"/>
      <c r="S38" s="60"/>
      <c r="T38" s="60"/>
      <c r="U38" s="60"/>
      <c r="V38" s="60"/>
      <c r="W38" s="60"/>
      <c r="X38" s="60"/>
      <c r="Y38" s="60"/>
      <c r="Z38" s="60"/>
      <c r="AA38" s="60"/>
      <c r="AB38" s="60"/>
      <c r="AC38" s="60"/>
      <c r="AD38" s="60"/>
      <c r="AE38" s="60"/>
      <c r="AF38" s="60"/>
      <c r="AG38" s="60"/>
      <c r="AH38" s="60"/>
      <c r="AI38" s="60"/>
      <c r="AJ38" s="60"/>
      <c r="AK38" s="60"/>
      <c r="AL38" s="60"/>
      <c r="AM38" s="60"/>
      <c r="AN38" s="60"/>
      <c r="AO38" s="60"/>
      <c r="AP38" s="60"/>
      <c r="AQ38" s="59">
        <v>0</v>
      </c>
      <c r="AR38" s="127">
        <f t="shared" si="7"/>
        <v>0</v>
      </c>
      <c r="AS38" s="131">
        <f t="shared" si="11"/>
        <v>0</v>
      </c>
      <c r="AT38" s="129">
        <f t="shared" si="8"/>
        <v>0</v>
      </c>
      <c r="AU38" s="180">
        <f t="shared" si="2"/>
        <v>0</v>
      </c>
      <c r="AV38" s="271">
        <f t="shared" si="3"/>
        <v>0</v>
      </c>
      <c r="AW38" s="279">
        <f t="shared" si="9"/>
        <v>0</v>
      </c>
      <c r="AX38" s="302">
        <f t="shared" si="10"/>
        <v>0</v>
      </c>
      <c r="AY38" s="109"/>
      <c r="AZ38" s="110"/>
      <c r="BA38" s="110"/>
      <c r="BB38" s="110"/>
      <c r="BC38" s="110"/>
      <c r="BD38" s="110"/>
      <c r="BE38" s="110"/>
      <c r="BF38" s="110"/>
      <c r="BG38" s="110"/>
      <c r="BH38" s="110"/>
      <c r="BI38" s="264">
        <f>_xlfn.XLOOKUP((_xlfn.CONCAT(A38,B38)),Picklist!$O$3:$O$292,Picklist!$Q$3:$Q$292,"",0)</f>
        <v>0</v>
      </c>
      <c r="BJ38" s="266">
        <f t="shared" si="4"/>
        <v>0</v>
      </c>
      <c r="BK38" s="265">
        <f t="shared" si="5"/>
        <v>0</v>
      </c>
      <c r="BL38" s="303">
        <f t="shared" si="6"/>
        <v>0</v>
      </c>
      <c r="BM38" s="111"/>
      <c r="BN38" s="111"/>
      <c r="BO38" s="111"/>
      <c r="BP38" s="111"/>
      <c r="BQ38" s="111"/>
      <c r="BR38" s="111"/>
      <c r="BS38" s="111"/>
      <c r="BT38" s="111"/>
      <c r="BU38" s="111"/>
      <c r="BV38" s="111"/>
      <c r="BW38" s="111"/>
      <c r="BX38" s="111"/>
      <c r="BY38" s="111"/>
      <c r="BZ38" s="111"/>
      <c r="CA38" s="111"/>
      <c r="CB38" s="111"/>
      <c r="CC38" s="111"/>
      <c r="CD38" s="111"/>
      <c r="CE38" s="111"/>
      <c r="CF38" s="111"/>
      <c r="CG38" s="111"/>
      <c r="CH38" s="111"/>
      <c r="CI38" s="111"/>
      <c r="CJ38" s="111"/>
      <c r="CK38" s="111"/>
      <c r="CL38" s="111"/>
      <c r="CM38" s="111"/>
      <c r="CN38" s="111"/>
      <c r="CO38" s="111"/>
      <c r="CP38" s="111"/>
    </row>
    <row r="39" spans="1:94" hidden="1" x14ac:dyDescent="0.25">
      <c r="A39" s="57"/>
      <c r="B39" s="57"/>
      <c r="C39" s="57"/>
      <c r="D39" s="56"/>
      <c r="E39" s="47" t="str" cm="1">
        <f t="array" ref="E39">IFERROR(INDEX(_xlfn.TEXTSPLIT(A39,"_"),3),"")</f>
        <v/>
      </c>
      <c r="F39" s="32">
        <f>_xlfn.XLOOKUP(_xlfn.CONCAT(A39,B39),Picklist!$O$3:$O$332,Picklist!$P$3:$P$332,"Choose Existing Role",0)</f>
        <v>0</v>
      </c>
      <c r="G39" s="254"/>
      <c r="H39" s="254"/>
      <c r="I39" s="254"/>
      <c r="J39" s="60"/>
      <c r="K39" s="60"/>
      <c r="L39" s="60"/>
      <c r="M39" s="60"/>
      <c r="N39" s="60"/>
      <c r="O39" s="60"/>
      <c r="P39" s="60"/>
      <c r="Q39" s="60"/>
      <c r="R39" s="60"/>
      <c r="S39" s="60"/>
      <c r="T39" s="60"/>
      <c r="U39" s="60"/>
      <c r="V39" s="60"/>
      <c r="W39" s="60"/>
      <c r="X39" s="60"/>
      <c r="Y39" s="60"/>
      <c r="Z39" s="60"/>
      <c r="AA39" s="60"/>
      <c r="AB39" s="60"/>
      <c r="AC39" s="60"/>
      <c r="AD39" s="60"/>
      <c r="AE39" s="60"/>
      <c r="AF39" s="60"/>
      <c r="AG39" s="60"/>
      <c r="AH39" s="60"/>
      <c r="AI39" s="60"/>
      <c r="AJ39" s="60"/>
      <c r="AK39" s="60"/>
      <c r="AL39" s="60"/>
      <c r="AM39" s="60"/>
      <c r="AN39" s="60"/>
      <c r="AO39" s="60"/>
      <c r="AP39" s="60"/>
      <c r="AQ39" s="59">
        <v>0</v>
      </c>
      <c r="AR39" s="127">
        <f t="shared" si="7"/>
        <v>0</v>
      </c>
      <c r="AS39" s="131">
        <f t="shared" si="11"/>
        <v>0</v>
      </c>
      <c r="AT39" s="129">
        <f t="shared" si="8"/>
        <v>0</v>
      </c>
      <c r="AU39" s="180">
        <f t="shared" si="2"/>
        <v>0</v>
      </c>
      <c r="AV39" s="271">
        <f t="shared" si="3"/>
        <v>0</v>
      </c>
      <c r="AW39" s="279">
        <f t="shared" si="9"/>
        <v>0</v>
      </c>
      <c r="AX39" s="302">
        <f t="shared" si="10"/>
        <v>0</v>
      </c>
      <c r="AY39" s="109"/>
      <c r="AZ39" s="110"/>
      <c r="BA39" s="110"/>
      <c r="BB39" s="110"/>
      <c r="BC39" s="110"/>
      <c r="BD39" s="110"/>
      <c r="BE39" s="110"/>
      <c r="BF39" s="110"/>
      <c r="BG39" s="110"/>
      <c r="BH39" s="110"/>
      <c r="BI39" s="264">
        <f>_xlfn.XLOOKUP((_xlfn.CONCAT(A39,B39)),Picklist!$O$3:$O$292,Picklist!$Q$3:$Q$292,"",0)</f>
        <v>0</v>
      </c>
      <c r="BJ39" s="266">
        <f t="shared" si="4"/>
        <v>0</v>
      </c>
      <c r="BK39" s="265">
        <f t="shared" si="5"/>
        <v>0</v>
      </c>
      <c r="BL39" s="303">
        <f t="shared" si="6"/>
        <v>0</v>
      </c>
      <c r="BM39" s="111"/>
      <c r="BN39" s="111"/>
      <c r="BO39" s="111"/>
      <c r="BP39" s="111"/>
      <c r="BQ39" s="111"/>
      <c r="BR39" s="111"/>
      <c r="BS39" s="111"/>
      <c r="BT39" s="111"/>
      <c r="BU39" s="111"/>
      <c r="BV39" s="111"/>
      <c r="BW39" s="111"/>
      <c r="BX39" s="111"/>
      <c r="BY39" s="111"/>
      <c r="BZ39" s="111"/>
      <c r="CA39" s="111"/>
      <c r="CB39" s="111"/>
      <c r="CC39" s="111"/>
      <c r="CD39" s="111"/>
      <c r="CE39" s="111"/>
      <c r="CF39" s="111"/>
      <c r="CG39" s="111"/>
      <c r="CH39" s="111"/>
      <c r="CI39" s="111"/>
      <c r="CJ39" s="111"/>
      <c r="CK39" s="111"/>
      <c r="CL39" s="111"/>
      <c r="CM39" s="111"/>
      <c r="CN39" s="111"/>
      <c r="CO39" s="111"/>
      <c r="CP39" s="111"/>
    </row>
    <row r="40" spans="1:94" hidden="1" x14ac:dyDescent="0.25">
      <c r="A40" s="57"/>
      <c r="B40" s="57"/>
      <c r="C40" s="57"/>
      <c r="D40" s="56"/>
      <c r="E40" s="47" t="str" cm="1">
        <f t="array" ref="E40">IFERROR(INDEX(_xlfn.TEXTSPLIT(A40,"_"),3),"")</f>
        <v/>
      </c>
      <c r="F40" s="32">
        <f>_xlfn.XLOOKUP(_xlfn.CONCAT(A40,B40),Picklist!$O$3:$O$332,Picklist!$P$3:$P$332,"Choose Existing Role",0)</f>
        <v>0</v>
      </c>
      <c r="G40" s="254"/>
      <c r="H40" s="254"/>
      <c r="I40" s="254"/>
      <c r="J40" s="60"/>
      <c r="K40" s="60"/>
      <c r="L40" s="60"/>
      <c r="M40" s="60"/>
      <c r="N40" s="60"/>
      <c r="O40" s="60"/>
      <c r="P40" s="60"/>
      <c r="Q40" s="60"/>
      <c r="R40" s="60"/>
      <c r="S40" s="60"/>
      <c r="T40" s="60"/>
      <c r="U40" s="60"/>
      <c r="V40" s="60"/>
      <c r="W40" s="60"/>
      <c r="X40" s="60"/>
      <c r="Y40" s="60"/>
      <c r="Z40" s="60"/>
      <c r="AA40" s="60"/>
      <c r="AB40" s="60"/>
      <c r="AC40" s="60"/>
      <c r="AD40" s="60"/>
      <c r="AE40" s="60"/>
      <c r="AF40" s="60"/>
      <c r="AG40" s="60"/>
      <c r="AH40" s="60"/>
      <c r="AI40" s="60"/>
      <c r="AJ40" s="60"/>
      <c r="AK40" s="60"/>
      <c r="AL40" s="60"/>
      <c r="AM40" s="60"/>
      <c r="AN40" s="60"/>
      <c r="AO40" s="60"/>
      <c r="AP40" s="60"/>
      <c r="AQ40" s="59">
        <v>0</v>
      </c>
      <c r="AR40" s="127">
        <f t="shared" si="7"/>
        <v>0</v>
      </c>
      <c r="AS40" s="131">
        <f t="shared" si="11"/>
        <v>0</v>
      </c>
      <c r="AT40" s="129">
        <f t="shared" si="8"/>
        <v>0</v>
      </c>
      <c r="AU40" s="180">
        <f t="shared" si="2"/>
        <v>0</v>
      </c>
      <c r="AV40" s="271">
        <f t="shared" si="3"/>
        <v>0</v>
      </c>
      <c r="AW40" s="279">
        <f t="shared" si="9"/>
        <v>0</v>
      </c>
      <c r="AX40" s="302">
        <f t="shared" si="10"/>
        <v>0</v>
      </c>
      <c r="AY40" s="109"/>
      <c r="AZ40" s="110"/>
      <c r="BA40" s="110"/>
      <c r="BB40" s="110"/>
      <c r="BC40" s="110"/>
      <c r="BD40" s="110"/>
      <c r="BE40" s="110"/>
      <c r="BF40" s="110"/>
      <c r="BG40" s="110"/>
      <c r="BH40" s="110"/>
      <c r="BI40" s="264">
        <f>_xlfn.XLOOKUP((_xlfn.CONCAT(A40,B40)),Picklist!$O$3:$O$292,Picklist!$Q$3:$Q$292,"",0)</f>
        <v>0</v>
      </c>
      <c r="BJ40" s="266">
        <f t="shared" si="4"/>
        <v>0</v>
      </c>
      <c r="BK40" s="265">
        <f t="shared" si="5"/>
        <v>0</v>
      </c>
      <c r="BL40" s="303">
        <f t="shared" si="6"/>
        <v>0</v>
      </c>
      <c r="BM40" s="111"/>
      <c r="BN40" s="111"/>
      <c r="BO40" s="111"/>
      <c r="BP40" s="111"/>
      <c r="BQ40" s="111"/>
      <c r="BR40" s="111"/>
      <c r="BS40" s="111"/>
      <c r="BT40" s="111"/>
      <c r="BU40" s="111"/>
      <c r="BV40" s="111"/>
      <c r="BW40" s="111"/>
      <c r="BX40" s="111"/>
      <c r="BY40" s="111"/>
      <c r="BZ40" s="111"/>
      <c r="CA40" s="111"/>
      <c r="CB40" s="111"/>
      <c r="CC40" s="111"/>
      <c r="CD40" s="111"/>
      <c r="CE40" s="111"/>
      <c r="CF40" s="111"/>
      <c r="CG40" s="111"/>
      <c r="CH40" s="111"/>
      <c r="CI40" s="111"/>
      <c r="CJ40" s="111"/>
      <c r="CK40" s="111"/>
      <c r="CL40" s="111"/>
      <c r="CM40" s="111"/>
      <c r="CN40" s="111"/>
      <c r="CO40" s="111"/>
      <c r="CP40" s="111"/>
    </row>
    <row r="41" spans="1:94" hidden="1" x14ac:dyDescent="0.25">
      <c r="A41" s="57"/>
      <c r="B41" s="57"/>
      <c r="C41" s="57"/>
      <c r="D41" s="56"/>
      <c r="E41" s="47" t="str" cm="1">
        <f t="array" ref="E41">IFERROR(INDEX(_xlfn.TEXTSPLIT(A41,"_"),3),"")</f>
        <v/>
      </c>
      <c r="F41" s="32">
        <f>_xlfn.XLOOKUP(_xlfn.CONCAT(A41,B41),Picklist!$O$3:$O$332,Picklist!$P$3:$P$332,"Choose Existing Role",0)</f>
        <v>0</v>
      </c>
      <c r="G41" s="254"/>
      <c r="H41" s="254"/>
      <c r="I41" s="254"/>
      <c r="J41" s="60"/>
      <c r="K41" s="60"/>
      <c r="L41" s="60"/>
      <c r="M41" s="60"/>
      <c r="N41" s="60"/>
      <c r="O41" s="60"/>
      <c r="P41" s="60"/>
      <c r="Q41" s="60"/>
      <c r="R41" s="60"/>
      <c r="S41" s="60"/>
      <c r="T41" s="60"/>
      <c r="U41" s="60"/>
      <c r="V41" s="60"/>
      <c r="W41" s="60"/>
      <c r="X41" s="60"/>
      <c r="Y41" s="60"/>
      <c r="Z41" s="60"/>
      <c r="AA41" s="60"/>
      <c r="AB41" s="60"/>
      <c r="AC41" s="60"/>
      <c r="AD41" s="60"/>
      <c r="AE41" s="60"/>
      <c r="AF41" s="60"/>
      <c r="AG41" s="60"/>
      <c r="AH41" s="60"/>
      <c r="AI41" s="60"/>
      <c r="AJ41" s="60"/>
      <c r="AK41" s="60"/>
      <c r="AL41" s="60"/>
      <c r="AM41" s="60"/>
      <c r="AN41" s="60"/>
      <c r="AO41" s="60"/>
      <c r="AP41" s="60"/>
      <c r="AQ41" s="59">
        <v>0</v>
      </c>
      <c r="AR41" s="127">
        <f t="shared" si="7"/>
        <v>0</v>
      </c>
      <c r="AS41" s="131">
        <f t="shared" si="11"/>
        <v>0</v>
      </c>
      <c r="AT41" s="129">
        <f t="shared" si="8"/>
        <v>0</v>
      </c>
      <c r="AU41" s="180">
        <f t="shared" si="2"/>
        <v>0</v>
      </c>
      <c r="AV41" s="271">
        <f t="shared" si="3"/>
        <v>0</v>
      </c>
      <c r="AW41" s="279">
        <f t="shared" si="9"/>
        <v>0</v>
      </c>
      <c r="AX41" s="302">
        <f t="shared" si="10"/>
        <v>0</v>
      </c>
      <c r="AY41" s="109"/>
      <c r="AZ41" s="110"/>
      <c r="BA41" s="110"/>
      <c r="BB41" s="110"/>
      <c r="BC41" s="110"/>
      <c r="BD41" s="110"/>
      <c r="BE41" s="110"/>
      <c r="BF41" s="110"/>
      <c r="BG41" s="110"/>
      <c r="BH41" s="110"/>
      <c r="BI41" s="264">
        <f>_xlfn.XLOOKUP((_xlfn.CONCAT(A41,B41)),Picklist!$O$3:$O$292,Picklist!$Q$3:$Q$292,"",0)</f>
        <v>0</v>
      </c>
      <c r="BJ41" s="266">
        <f t="shared" si="4"/>
        <v>0</v>
      </c>
      <c r="BK41" s="265">
        <f t="shared" si="5"/>
        <v>0</v>
      </c>
      <c r="BL41" s="303">
        <f t="shared" si="6"/>
        <v>0</v>
      </c>
      <c r="BM41" s="111"/>
      <c r="BN41" s="111"/>
      <c r="BO41" s="111"/>
      <c r="BP41" s="111"/>
      <c r="BQ41" s="111"/>
      <c r="BR41" s="111"/>
      <c r="BS41" s="111"/>
      <c r="BT41" s="111"/>
      <c r="BU41" s="111"/>
      <c r="BV41" s="111"/>
      <c r="BW41" s="111"/>
      <c r="BX41" s="111"/>
      <c r="BY41" s="111"/>
      <c r="BZ41" s="111"/>
      <c r="CA41" s="111"/>
      <c r="CB41" s="111"/>
      <c r="CC41" s="111"/>
      <c r="CD41" s="111"/>
      <c r="CE41" s="111"/>
      <c r="CF41" s="111"/>
      <c r="CG41" s="111"/>
      <c r="CH41" s="111"/>
      <c r="CI41" s="111"/>
      <c r="CJ41" s="111"/>
      <c r="CK41" s="111"/>
      <c r="CL41" s="111"/>
      <c r="CM41" s="111"/>
      <c r="CN41" s="111"/>
      <c r="CO41" s="111"/>
      <c r="CP41" s="111"/>
    </row>
    <row r="42" spans="1:94" hidden="1" x14ac:dyDescent="0.25">
      <c r="A42" s="57"/>
      <c r="B42" s="57"/>
      <c r="C42" s="57"/>
      <c r="D42" s="56"/>
      <c r="E42" s="47" t="str" cm="1">
        <f t="array" ref="E42">IFERROR(INDEX(_xlfn.TEXTSPLIT(A42,"_"),3),"")</f>
        <v/>
      </c>
      <c r="F42" s="32">
        <f>_xlfn.XLOOKUP(_xlfn.CONCAT(A42,B42),Picklist!$O$3:$O$332,Picklist!$P$3:$P$332,"Choose Existing Role",0)</f>
        <v>0</v>
      </c>
      <c r="G42" s="254"/>
      <c r="H42" s="254"/>
      <c r="I42" s="254"/>
      <c r="J42" s="60"/>
      <c r="K42" s="60"/>
      <c r="L42" s="60"/>
      <c r="M42" s="60"/>
      <c r="N42" s="60"/>
      <c r="O42" s="60"/>
      <c r="P42" s="60"/>
      <c r="Q42" s="60"/>
      <c r="R42" s="60"/>
      <c r="S42" s="60"/>
      <c r="T42" s="60"/>
      <c r="U42" s="60"/>
      <c r="V42" s="60"/>
      <c r="W42" s="60"/>
      <c r="X42" s="60"/>
      <c r="Y42" s="60"/>
      <c r="Z42" s="60"/>
      <c r="AA42" s="60"/>
      <c r="AB42" s="60"/>
      <c r="AC42" s="60"/>
      <c r="AD42" s="60"/>
      <c r="AE42" s="60"/>
      <c r="AF42" s="60"/>
      <c r="AG42" s="60"/>
      <c r="AH42" s="60"/>
      <c r="AI42" s="60"/>
      <c r="AJ42" s="60"/>
      <c r="AK42" s="60"/>
      <c r="AL42" s="60"/>
      <c r="AM42" s="60"/>
      <c r="AN42" s="60"/>
      <c r="AO42" s="60"/>
      <c r="AP42" s="60"/>
      <c r="AQ42" s="59">
        <v>0</v>
      </c>
      <c r="AR42" s="127">
        <f t="shared" si="7"/>
        <v>0</v>
      </c>
      <c r="AS42" s="131">
        <f t="shared" si="11"/>
        <v>0</v>
      </c>
      <c r="AT42" s="129">
        <f t="shared" si="8"/>
        <v>0</v>
      </c>
      <c r="AU42" s="180">
        <f t="shared" si="2"/>
        <v>0</v>
      </c>
      <c r="AV42" s="271">
        <f t="shared" si="3"/>
        <v>0</v>
      </c>
      <c r="AW42" s="279">
        <f t="shared" si="9"/>
        <v>0</v>
      </c>
      <c r="AX42" s="302">
        <f t="shared" si="10"/>
        <v>0</v>
      </c>
      <c r="AY42" s="109"/>
      <c r="AZ42" s="110"/>
      <c r="BA42" s="110"/>
      <c r="BB42" s="110"/>
      <c r="BC42" s="110"/>
      <c r="BD42" s="110"/>
      <c r="BE42" s="110"/>
      <c r="BF42" s="110"/>
      <c r="BG42" s="110"/>
      <c r="BH42" s="110"/>
      <c r="BI42" s="264">
        <f>_xlfn.XLOOKUP((_xlfn.CONCAT(A42,B42)),Picklist!$O$3:$O$292,Picklist!$Q$3:$Q$292,"",0)</f>
        <v>0</v>
      </c>
      <c r="BJ42" s="266">
        <f t="shared" si="4"/>
        <v>0</v>
      </c>
      <c r="BK42" s="265">
        <f t="shared" si="5"/>
        <v>0</v>
      </c>
      <c r="BL42" s="303">
        <f t="shared" si="6"/>
        <v>0</v>
      </c>
      <c r="BM42" s="111"/>
      <c r="BN42" s="111"/>
      <c r="BO42" s="111"/>
      <c r="BP42" s="111"/>
      <c r="BQ42" s="111"/>
      <c r="BR42" s="111"/>
      <c r="BS42" s="111"/>
      <c r="BT42" s="111"/>
      <c r="BU42" s="111"/>
      <c r="BV42" s="111"/>
      <c r="BW42" s="111"/>
      <c r="BX42" s="111"/>
      <c r="BY42" s="111"/>
      <c r="BZ42" s="111"/>
      <c r="CA42" s="111"/>
      <c r="CB42" s="111"/>
      <c r="CC42" s="111"/>
      <c r="CD42" s="111"/>
      <c r="CE42" s="111"/>
      <c r="CF42" s="111"/>
      <c r="CG42" s="111"/>
      <c r="CH42" s="111"/>
      <c r="CI42" s="111"/>
      <c r="CJ42" s="111"/>
      <c r="CK42" s="111"/>
      <c r="CL42" s="111"/>
      <c r="CM42" s="111"/>
      <c r="CN42" s="111"/>
      <c r="CO42" s="111"/>
      <c r="CP42" s="111"/>
    </row>
    <row r="43" spans="1:94" ht="15.75" hidden="1" thickBot="1" x14ac:dyDescent="0.3">
      <c r="A43" s="57"/>
      <c r="B43" s="57"/>
      <c r="C43" s="57"/>
      <c r="D43" s="56"/>
      <c r="E43" s="47" t="str" cm="1">
        <f t="array" ref="E43">IFERROR(INDEX(_xlfn.TEXTSPLIT(A43,"_"),3),"")</f>
        <v/>
      </c>
      <c r="F43" s="32">
        <f>_xlfn.XLOOKUP(_xlfn.CONCAT(A43,B43),Picklist!$O$3:$O$332,Picklist!$P$3:$P$332,"Choose Existing Role",0)</f>
        <v>0</v>
      </c>
      <c r="G43" s="254"/>
      <c r="H43" s="254"/>
      <c r="I43" s="254"/>
      <c r="J43" s="60"/>
      <c r="K43" s="60"/>
      <c r="L43" s="60"/>
      <c r="M43" s="60"/>
      <c r="N43" s="60"/>
      <c r="O43" s="60"/>
      <c r="P43" s="60"/>
      <c r="Q43" s="60"/>
      <c r="R43" s="60"/>
      <c r="S43" s="60"/>
      <c r="T43" s="60"/>
      <c r="U43" s="60"/>
      <c r="V43" s="60"/>
      <c r="W43" s="60"/>
      <c r="X43" s="60"/>
      <c r="Y43" s="60"/>
      <c r="Z43" s="60"/>
      <c r="AA43" s="60"/>
      <c r="AB43" s="60"/>
      <c r="AC43" s="60"/>
      <c r="AD43" s="60"/>
      <c r="AE43" s="60"/>
      <c r="AF43" s="60"/>
      <c r="AG43" s="60"/>
      <c r="AH43" s="60"/>
      <c r="AI43" s="60"/>
      <c r="AJ43" s="60"/>
      <c r="AK43" s="60"/>
      <c r="AL43" s="60"/>
      <c r="AM43" s="60"/>
      <c r="AN43" s="60"/>
      <c r="AO43" s="60"/>
      <c r="AP43" s="60"/>
      <c r="AQ43" s="59">
        <v>0</v>
      </c>
      <c r="AR43" s="127">
        <f t="shared" si="7"/>
        <v>0</v>
      </c>
      <c r="AS43" s="131">
        <f t="shared" si="11"/>
        <v>0</v>
      </c>
      <c r="AT43" s="129">
        <f t="shared" si="8"/>
        <v>0</v>
      </c>
      <c r="AU43" s="180">
        <f t="shared" si="2"/>
        <v>0</v>
      </c>
      <c r="AV43" s="271">
        <f t="shared" si="3"/>
        <v>0</v>
      </c>
      <c r="AW43" s="279">
        <f t="shared" si="9"/>
        <v>0</v>
      </c>
      <c r="AX43" s="302">
        <f t="shared" si="10"/>
        <v>0</v>
      </c>
      <c r="AY43" s="109"/>
      <c r="AZ43" s="110"/>
      <c r="BA43" s="110"/>
      <c r="BB43" s="110"/>
      <c r="BC43" s="110"/>
      <c r="BD43" s="110"/>
      <c r="BE43" s="110"/>
      <c r="BF43" s="110"/>
      <c r="BG43" s="110"/>
      <c r="BH43" s="110"/>
      <c r="BI43" s="264">
        <f>_xlfn.XLOOKUP((_xlfn.CONCAT(A43,B43)),Picklist!$O$3:$O$292,Picklist!$Q$3:$Q$292,"",0)</f>
        <v>0</v>
      </c>
      <c r="BJ43" s="266">
        <f t="shared" si="4"/>
        <v>0</v>
      </c>
      <c r="BK43" s="265">
        <f t="shared" si="5"/>
        <v>0</v>
      </c>
      <c r="BL43" s="303">
        <f t="shared" si="6"/>
        <v>0</v>
      </c>
      <c r="BM43" s="111"/>
      <c r="BN43" s="111"/>
      <c r="BO43" s="111"/>
      <c r="BP43" s="111"/>
      <c r="BQ43" s="111"/>
      <c r="BR43" s="111"/>
      <c r="BS43" s="111"/>
      <c r="BT43" s="111"/>
      <c r="BU43" s="111"/>
      <c r="BV43" s="111"/>
      <c r="BW43" s="111"/>
      <c r="BX43" s="111"/>
      <c r="BY43" s="111"/>
      <c r="BZ43" s="111"/>
      <c r="CA43" s="111"/>
      <c r="CB43" s="111"/>
      <c r="CC43" s="111"/>
      <c r="CD43" s="111"/>
      <c r="CE43" s="111"/>
      <c r="CF43" s="111"/>
      <c r="CG43" s="111"/>
      <c r="CH43" s="111"/>
      <c r="CI43" s="111"/>
      <c r="CJ43" s="111"/>
      <c r="CK43" s="111"/>
      <c r="CL43" s="111"/>
      <c r="CM43" s="111"/>
      <c r="CN43" s="111"/>
      <c r="CO43" s="111"/>
      <c r="CP43" s="111"/>
    </row>
    <row r="44" spans="1:94" s="13" customFormat="1" ht="15.75" thickBot="1" x14ac:dyDescent="0.3">
      <c r="A44" s="253" t="s">
        <v>100</v>
      </c>
      <c r="B44" s="136"/>
      <c r="C44" s="136"/>
      <c r="D44" s="136"/>
      <c r="E44" s="112"/>
      <c r="F44" s="23">
        <f>IFERROR(AVERAGEIF(F9:F43,"&lt;&gt;0"),0)</f>
        <v>275</v>
      </c>
      <c r="G44" s="113">
        <f>SUM(G9:G43)</f>
        <v>50</v>
      </c>
      <c r="H44" s="113">
        <f t="shared" ref="H44:AP44" si="12">SUM(H9:H43)</f>
        <v>80</v>
      </c>
      <c r="I44" s="113">
        <f t="shared" si="12"/>
        <v>90</v>
      </c>
      <c r="J44" s="113">
        <f t="shared" si="12"/>
        <v>90</v>
      </c>
      <c r="K44" s="113">
        <f t="shared" si="12"/>
        <v>0</v>
      </c>
      <c r="L44" s="113">
        <f t="shared" si="12"/>
        <v>0</v>
      </c>
      <c r="M44" s="113">
        <f t="shared" si="12"/>
        <v>0</v>
      </c>
      <c r="N44" s="113">
        <f t="shared" si="12"/>
        <v>0</v>
      </c>
      <c r="O44" s="113">
        <f t="shared" si="12"/>
        <v>0</v>
      </c>
      <c r="P44" s="113">
        <f t="shared" si="12"/>
        <v>0</v>
      </c>
      <c r="Q44" s="113">
        <f t="shared" si="12"/>
        <v>0</v>
      </c>
      <c r="R44" s="113">
        <f t="shared" si="12"/>
        <v>0</v>
      </c>
      <c r="S44" s="113">
        <f t="shared" si="12"/>
        <v>0</v>
      </c>
      <c r="T44" s="113">
        <f t="shared" si="12"/>
        <v>0</v>
      </c>
      <c r="U44" s="113">
        <f t="shared" si="12"/>
        <v>0</v>
      </c>
      <c r="V44" s="113">
        <f t="shared" si="12"/>
        <v>0</v>
      </c>
      <c r="W44" s="113">
        <f t="shared" si="12"/>
        <v>0</v>
      </c>
      <c r="X44" s="113">
        <f t="shared" si="12"/>
        <v>0</v>
      </c>
      <c r="Y44" s="113">
        <f t="shared" si="12"/>
        <v>0</v>
      </c>
      <c r="Z44" s="113">
        <f t="shared" si="12"/>
        <v>0</v>
      </c>
      <c r="AA44" s="113">
        <f t="shared" si="12"/>
        <v>0</v>
      </c>
      <c r="AB44" s="113">
        <f t="shared" si="12"/>
        <v>0</v>
      </c>
      <c r="AC44" s="113">
        <f t="shared" si="12"/>
        <v>0</v>
      </c>
      <c r="AD44" s="113">
        <f t="shared" si="12"/>
        <v>0</v>
      </c>
      <c r="AE44" s="113">
        <f t="shared" si="12"/>
        <v>0</v>
      </c>
      <c r="AF44" s="113">
        <f t="shared" si="12"/>
        <v>0</v>
      </c>
      <c r="AG44" s="113">
        <f t="shared" si="12"/>
        <v>0</v>
      </c>
      <c r="AH44" s="113">
        <f t="shared" si="12"/>
        <v>0</v>
      </c>
      <c r="AI44" s="113">
        <f t="shared" si="12"/>
        <v>0</v>
      </c>
      <c r="AJ44" s="113">
        <f t="shared" si="12"/>
        <v>0</v>
      </c>
      <c r="AK44" s="113">
        <f t="shared" si="12"/>
        <v>0</v>
      </c>
      <c r="AL44" s="113">
        <f t="shared" si="12"/>
        <v>0</v>
      </c>
      <c r="AM44" s="113">
        <f t="shared" si="12"/>
        <v>0</v>
      </c>
      <c r="AN44" s="113">
        <f t="shared" si="12"/>
        <v>0</v>
      </c>
      <c r="AO44" s="113">
        <f t="shared" si="12"/>
        <v>0</v>
      </c>
      <c r="AP44" s="113">
        <f t="shared" si="12"/>
        <v>0</v>
      </c>
      <c r="AQ44" s="24">
        <f>IFERROR(AVERAGEIF(AQ9:AQ43,"&lt;&gt;0"),0)</f>
        <v>0.16363</v>
      </c>
      <c r="AR44" s="50">
        <f>SUM(AR9:AR43)</f>
        <v>310</v>
      </c>
      <c r="AS44" s="114">
        <f>SUM(AS9:AS43)</f>
        <v>85250</v>
      </c>
      <c r="AT44" s="25">
        <f>SUM(AT9:AT43)</f>
        <v>-13949.46</v>
      </c>
      <c r="AU44" s="208">
        <f>SUM(AU9:AU43)</f>
        <v>71300</v>
      </c>
      <c r="AV44" s="311"/>
      <c r="AW44" s="309"/>
      <c r="AX44" s="310"/>
      <c r="AY44" s="115"/>
      <c r="AZ44" s="116"/>
      <c r="BA44" s="116"/>
      <c r="BB44" s="116"/>
      <c r="BC44" s="116"/>
      <c r="BD44" s="116"/>
      <c r="BE44" s="116"/>
      <c r="BF44" s="116"/>
      <c r="BG44" s="116"/>
      <c r="BH44" s="116"/>
      <c r="BI44" s="267">
        <f>AVERAGEIF(BI9:BI43,"&lt;&gt;0")</f>
        <v>165</v>
      </c>
      <c r="BJ44" s="268">
        <f>SUM(BJ9:BJ43)</f>
        <v>51150</v>
      </c>
      <c r="BK44" s="268">
        <f>SUM(BK9:BK43)</f>
        <v>20150</v>
      </c>
      <c r="BL44" s="304">
        <f>IFERROR((AU44-BJ44)/AU44,0)</f>
        <v>0.28260869565217389</v>
      </c>
      <c r="BM44" s="117"/>
      <c r="BN44" s="117"/>
      <c r="BO44" s="117"/>
      <c r="BP44" s="117"/>
      <c r="BQ44" s="117"/>
      <c r="BR44" s="117"/>
      <c r="BS44" s="117"/>
      <c r="BT44" s="117"/>
      <c r="BU44" s="117"/>
      <c r="BV44" s="117"/>
      <c r="BW44" s="117"/>
      <c r="BX44" s="117"/>
      <c r="BY44" s="117"/>
      <c r="BZ44" s="117"/>
      <c r="CA44" s="117"/>
      <c r="CB44" s="117"/>
      <c r="CC44" s="117"/>
      <c r="CD44" s="117"/>
      <c r="CE44" s="117"/>
      <c r="CF44" s="117"/>
      <c r="CG44" s="117"/>
      <c r="CH44" s="117"/>
      <c r="CI44" s="117"/>
      <c r="CJ44" s="117"/>
      <c r="CK44" s="117"/>
      <c r="CL44" s="117"/>
      <c r="CM44" s="117"/>
      <c r="CN44" s="117"/>
      <c r="CO44" s="117"/>
      <c r="CP44" s="117"/>
    </row>
    <row r="45" spans="1:94" s="10" customFormat="1" ht="48" customHeight="1" x14ac:dyDescent="0.25">
      <c r="A45" s="121"/>
      <c r="B45" s="121"/>
      <c r="C45" s="121"/>
      <c r="D45" s="121"/>
      <c r="E45" s="121"/>
      <c r="F45" s="238"/>
      <c r="G45" s="239"/>
      <c r="H45" s="239"/>
      <c r="I45" s="239"/>
      <c r="J45" s="239"/>
      <c r="K45" s="239"/>
      <c r="L45" s="239"/>
      <c r="M45" s="239"/>
      <c r="N45" s="239"/>
      <c r="O45" s="239"/>
      <c r="P45" s="239"/>
      <c r="Q45" s="239"/>
      <c r="R45" s="239"/>
      <c r="S45" s="239"/>
      <c r="T45" s="239"/>
      <c r="U45" s="239"/>
      <c r="V45" s="239"/>
      <c r="W45" s="239"/>
      <c r="X45" s="239"/>
      <c r="Y45" s="239"/>
      <c r="Z45" s="239"/>
      <c r="AA45" s="239"/>
      <c r="AB45" s="239"/>
      <c r="AC45" s="239"/>
      <c r="AD45" s="239"/>
      <c r="AE45" s="239"/>
      <c r="AF45" s="239"/>
      <c r="AG45" s="239"/>
      <c r="AH45" s="239"/>
      <c r="AI45" s="239"/>
      <c r="AJ45" s="239"/>
      <c r="AK45" s="239"/>
      <c r="AL45" s="239"/>
      <c r="AM45" s="239"/>
      <c r="AN45" s="239"/>
      <c r="AO45" s="239"/>
      <c r="AP45" s="239"/>
      <c r="AQ45" s="202"/>
      <c r="AR45" s="240" t="s">
        <v>101</v>
      </c>
      <c r="AS45" s="241">
        <f>ROUND((-AS44*AQ45),2)</f>
        <v>0</v>
      </c>
      <c r="AT45" s="249" t="s">
        <v>102</v>
      </c>
      <c r="AU45" s="250">
        <f>IFERROR(IF($AR$4="Hourly Rate",0,AS44+AS45),0)</f>
        <v>0</v>
      </c>
      <c r="AV45" s="251" t="s">
        <v>103</v>
      </c>
      <c r="AW45" s="281"/>
      <c r="AX45" s="282"/>
      <c r="AY45" s="242"/>
      <c r="AZ45" s="243"/>
      <c r="BA45" s="243"/>
      <c r="BB45" s="243"/>
      <c r="BC45" s="243"/>
      <c r="BD45" s="243"/>
      <c r="BE45" s="243"/>
      <c r="BF45" s="243"/>
      <c r="BG45" s="243"/>
      <c r="BH45" s="243"/>
      <c r="BI45" s="244"/>
      <c r="BJ45" s="245"/>
      <c r="BK45" s="245"/>
      <c r="BL45" s="246"/>
      <c r="BM45" s="104"/>
      <c r="BN45" s="104"/>
      <c r="BO45" s="104"/>
      <c r="BP45" s="104"/>
      <c r="BQ45" s="104"/>
      <c r="BR45" s="104"/>
      <c r="BS45" s="104"/>
      <c r="BT45" s="104"/>
      <c r="BU45" s="104"/>
      <c r="BV45" s="104"/>
      <c r="BW45" s="104"/>
      <c r="BX45" s="104"/>
      <c r="BY45" s="104"/>
      <c r="BZ45" s="104"/>
      <c r="CA45" s="104"/>
      <c r="CB45" s="104"/>
      <c r="CC45" s="104"/>
      <c r="CD45" s="104"/>
      <c r="CE45" s="104"/>
      <c r="CF45" s="104"/>
      <c r="CG45" s="104"/>
      <c r="CH45" s="104"/>
      <c r="CI45" s="104"/>
      <c r="CJ45" s="104"/>
      <c r="CK45" s="104"/>
      <c r="CL45" s="104"/>
      <c r="CM45" s="104"/>
      <c r="CN45" s="104"/>
      <c r="CO45" s="104"/>
      <c r="CP45" s="104"/>
    </row>
    <row r="46" spans="1:94" s="9" customFormat="1" ht="42.6" customHeight="1" thickBot="1" x14ac:dyDescent="0.3">
      <c r="A46" s="100"/>
      <c r="B46" s="100"/>
      <c r="C46" s="100"/>
      <c r="D46" s="100"/>
      <c r="E46" s="100"/>
      <c r="F46" s="51" t="s">
        <v>104</v>
      </c>
      <c r="G46" s="105" t="s">
        <v>105</v>
      </c>
      <c r="H46" s="105" t="s">
        <v>105</v>
      </c>
      <c r="I46" s="105" t="s">
        <v>105</v>
      </c>
      <c r="J46" s="105" t="s">
        <v>105</v>
      </c>
      <c r="K46" s="105" t="s">
        <v>105</v>
      </c>
      <c r="L46" s="105" t="s">
        <v>105</v>
      </c>
      <c r="M46" s="105" t="s">
        <v>105</v>
      </c>
      <c r="N46" s="105" t="s">
        <v>105</v>
      </c>
      <c r="O46" s="105" t="s">
        <v>105</v>
      </c>
      <c r="P46" s="105" t="s">
        <v>105</v>
      </c>
      <c r="Q46" s="105" t="s">
        <v>105</v>
      </c>
      <c r="R46" s="105" t="s">
        <v>105</v>
      </c>
      <c r="S46" s="105" t="s">
        <v>105</v>
      </c>
      <c r="T46" s="105" t="s">
        <v>105</v>
      </c>
      <c r="U46" s="105" t="s">
        <v>105</v>
      </c>
      <c r="V46" s="105" t="s">
        <v>105</v>
      </c>
      <c r="W46" s="105" t="s">
        <v>105</v>
      </c>
      <c r="X46" s="105" t="s">
        <v>105</v>
      </c>
      <c r="Y46" s="105" t="s">
        <v>105</v>
      </c>
      <c r="Z46" s="105" t="s">
        <v>105</v>
      </c>
      <c r="AA46" s="105" t="s">
        <v>105</v>
      </c>
      <c r="AB46" s="105" t="s">
        <v>105</v>
      </c>
      <c r="AC46" s="105" t="s">
        <v>105</v>
      </c>
      <c r="AD46" s="105" t="s">
        <v>105</v>
      </c>
      <c r="AE46" s="105" t="s">
        <v>105</v>
      </c>
      <c r="AF46" s="105" t="s">
        <v>105</v>
      </c>
      <c r="AG46" s="105" t="s">
        <v>105</v>
      </c>
      <c r="AH46" s="105" t="s">
        <v>105</v>
      </c>
      <c r="AI46" s="105" t="s">
        <v>105</v>
      </c>
      <c r="AJ46" s="105" t="s">
        <v>105</v>
      </c>
      <c r="AK46" s="105" t="s">
        <v>105</v>
      </c>
      <c r="AL46" s="105" t="s">
        <v>105</v>
      </c>
      <c r="AM46" s="105" t="s">
        <v>105</v>
      </c>
      <c r="AN46" s="105" t="s">
        <v>105</v>
      </c>
      <c r="AO46" s="105" t="s">
        <v>105</v>
      </c>
      <c r="AP46" s="105" t="s">
        <v>105</v>
      </c>
      <c r="AQ46" s="118" t="s">
        <v>106</v>
      </c>
      <c r="AR46" s="118" t="s">
        <v>107</v>
      </c>
      <c r="AS46" s="118" t="s">
        <v>108</v>
      </c>
      <c r="AT46" s="118" t="s">
        <v>109</v>
      </c>
      <c r="AU46" s="119" t="s">
        <v>110</v>
      </c>
      <c r="AV46" s="305"/>
      <c r="AW46" s="283"/>
      <c r="AX46" s="284"/>
      <c r="AY46" s="103"/>
      <c r="AZ46" s="104"/>
      <c r="BA46" s="104"/>
      <c r="BB46" s="104"/>
      <c r="BC46" s="104"/>
      <c r="BD46" s="104"/>
      <c r="BE46" s="104"/>
      <c r="BF46" s="104"/>
      <c r="BG46" s="104"/>
      <c r="BH46" s="104"/>
      <c r="BI46" s="75" t="s">
        <v>111</v>
      </c>
      <c r="BJ46" s="75" t="s">
        <v>112</v>
      </c>
      <c r="BK46" s="75" t="s">
        <v>113</v>
      </c>
      <c r="BL46" s="75" t="s">
        <v>114</v>
      </c>
      <c r="BM46" s="101"/>
      <c r="BN46" s="101"/>
      <c r="BO46" s="101"/>
      <c r="BP46" s="101"/>
      <c r="BQ46" s="101"/>
      <c r="BR46" s="101"/>
      <c r="BS46" s="101"/>
      <c r="BT46" s="101"/>
      <c r="BU46" s="101"/>
      <c r="BV46" s="101"/>
      <c r="BW46" s="101"/>
      <c r="BX46" s="101"/>
      <c r="BY46" s="101"/>
      <c r="BZ46" s="101"/>
      <c r="CA46" s="101"/>
      <c r="CB46" s="101"/>
      <c r="CC46" s="101"/>
      <c r="CD46" s="101"/>
      <c r="CE46" s="101"/>
      <c r="CF46" s="101"/>
      <c r="CG46" s="101"/>
      <c r="CH46" s="101"/>
      <c r="CI46" s="101"/>
      <c r="CJ46" s="101"/>
      <c r="CK46" s="101"/>
      <c r="CL46" s="101"/>
      <c r="CM46" s="101"/>
      <c r="CN46" s="101"/>
      <c r="CO46" s="101"/>
      <c r="CP46" s="101"/>
    </row>
    <row r="47" spans="1:94" s="9" customFormat="1" ht="30.75" thickBot="1" x14ac:dyDescent="0.3">
      <c r="A47" s="120"/>
      <c r="B47" s="120"/>
      <c r="C47" s="120"/>
      <c r="D47" s="120"/>
      <c r="E47" s="120"/>
      <c r="F47" s="29" t="s">
        <v>115</v>
      </c>
      <c r="G47" s="287">
        <f t="shared" ref="G47:AP47" si="13">(SUMPRODUCT(G9:G43,$AV$9:$AV$43))-(ROUND(((SUMPRODUCT(G9:G43,$AV9:$AV43))*$AQ$45),2))</f>
        <v>11500</v>
      </c>
      <c r="H47" s="287">
        <f t="shared" si="13"/>
        <v>18400</v>
      </c>
      <c r="I47" s="287">
        <f t="shared" si="13"/>
        <v>20700</v>
      </c>
      <c r="J47" s="287">
        <f t="shared" si="13"/>
        <v>20700</v>
      </c>
      <c r="K47" s="287">
        <f t="shared" si="13"/>
        <v>0</v>
      </c>
      <c r="L47" s="287">
        <f t="shared" si="13"/>
        <v>0</v>
      </c>
      <c r="M47" s="287">
        <f t="shared" si="13"/>
        <v>0</v>
      </c>
      <c r="N47" s="287">
        <f t="shared" si="13"/>
        <v>0</v>
      </c>
      <c r="O47" s="287">
        <f t="shared" si="13"/>
        <v>0</v>
      </c>
      <c r="P47" s="287">
        <f t="shared" si="13"/>
        <v>0</v>
      </c>
      <c r="Q47" s="287">
        <f t="shared" si="13"/>
        <v>0</v>
      </c>
      <c r="R47" s="287">
        <f t="shared" si="13"/>
        <v>0</v>
      </c>
      <c r="S47" s="287">
        <f t="shared" si="13"/>
        <v>0</v>
      </c>
      <c r="T47" s="287">
        <f t="shared" si="13"/>
        <v>0</v>
      </c>
      <c r="U47" s="287">
        <f t="shared" si="13"/>
        <v>0</v>
      </c>
      <c r="V47" s="287">
        <f t="shared" si="13"/>
        <v>0</v>
      </c>
      <c r="W47" s="287">
        <f t="shared" si="13"/>
        <v>0</v>
      </c>
      <c r="X47" s="287">
        <f t="shared" si="13"/>
        <v>0</v>
      </c>
      <c r="Y47" s="287">
        <f t="shared" si="13"/>
        <v>0</v>
      </c>
      <c r="Z47" s="287">
        <f t="shared" si="13"/>
        <v>0</v>
      </c>
      <c r="AA47" s="287">
        <f t="shared" si="13"/>
        <v>0</v>
      </c>
      <c r="AB47" s="287">
        <f t="shared" si="13"/>
        <v>0</v>
      </c>
      <c r="AC47" s="287">
        <f t="shared" si="13"/>
        <v>0</v>
      </c>
      <c r="AD47" s="287">
        <f t="shared" si="13"/>
        <v>0</v>
      </c>
      <c r="AE47" s="287">
        <f t="shared" si="13"/>
        <v>0</v>
      </c>
      <c r="AF47" s="287">
        <f t="shared" si="13"/>
        <v>0</v>
      </c>
      <c r="AG47" s="287">
        <f t="shared" si="13"/>
        <v>0</v>
      </c>
      <c r="AH47" s="287">
        <f t="shared" si="13"/>
        <v>0</v>
      </c>
      <c r="AI47" s="287">
        <f t="shared" si="13"/>
        <v>0</v>
      </c>
      <c r="AJ47" s="287">
        <f t="shared" si="13"/>
        <v>0</v>
      </c>
      <c r="AK47" s="287">
        <f t="shared" si="13"/>
        <v>0</v>
      </c>
      <c r="AL47" s="287">
        <f t="shared" si="13"/>
        <v>0</v>
      </c>
      <c r="AM47" s="287">
        <f t="shared" si="13"/>
        <v>0</v>
      </c>
      <c r="AN47" s="287">
        <f t="shared" si="13"/>
        <v>0</v>
      </c>
      <c r="AO47" s="287">
        <f t="shared" si="13"/>
        <v>0</v>
      </c>
      <c r="AP47" s="287">
        <f t="shared" si="13"/>
        <v>0</v>
      </c>
      <c r="AQ47" s="247"/>
      <c r="AR47" s="248"/>
      <c r="AS47" s="248"/>
      <c r="AT47" s="252"/>
      <c r="AU47" s="428"/>
      <c r="AV47" s="428"/>
      <c r="AW47" s="428"/>
      <c r="AX47" s="285"/>
      <c r="AY47" s="103"/>
      <c r="AZ47" s="104"/>
      <c r="BA47" s="104"/>
      <c r="BB47" s="104"/>
      <c r="BC47" s="104"/>
      <c r="BD47" s="104"/>
      <c r="BE47" s="104"/>
      <c r="BF47" s="104"/>
      <c r="BG47" s="104"/>
      <c r="BH47" s="104"/>
      <c r="BI47" s="104"/>
      <c r="BJ47" s="104"/>
      <c r="BK47" s="104"/>
      <c r="BL47" s="101"/>
      <c r="BM47" s="101"/>
      <c r="BN47" s="101"/>
      <c r="BO47" s="101"/>
      <c r="BP47" s="101"/>
      <c r="BQ47" s="101"/>
      <c r="BR47" s="101"/>
      <c r="BS47" s="101"/>
      <c r="BT47" s="101"/>
      <c r="BU47" s="101"/>
      <c r="BV47" s="101"/>
      <c r="BW47" s="101"/>
      <c r="BX47" s="101"/>
      <c r="BY47" s="101"/>
      <c r="BZ47" s="101"/>
      <c r="CA47" s="101"/>
      <c r="CB47" s="101"/>
      <c r="CC47" s="101"/>
      <c r="CD47" s="101"/>
      <c r="CE47" s="101"/>
      <c r="CF47" s="101"/>
      <c r="CG47" s="101"/>
      <c r="CH47" s="101"/>
      <c r="CI47" s="101"/>
      <c r="CJ47" s="101"/>
      <c r="CK47" s="101"/>
      <c r="CL47" s="101"/>
      <c r="CM47" s="101"/>
      <c r="CN47" s="101"/>
      <c r="CO47" s="101"/>
      <c r="CP47" s="101"/>
    </row>
    <row r="48" spans="1:94" s="9" customFormat="1" x14ac:dyDescent="0.25">
      <c r="A48" s="141"/>
      <c r="B48" s="142"/>
      <c r="C48" s="142"/>
      <c r="D48" s="142"/>
      <c r="E48" s="142"/>
      <c r="F48" s="142"/>
      <c r="G48" s="142"/>
      <c r="H48" s="142"/>
      <c r="I48" s="142"/>
      <c r="J48" s="142"/>
      <c r="K48" s="143"/>
      <c r="L48" s="144"/>
      <c r="M48" s="144"/>
      <c r="N48" s="144"/>
      <c r="O48" s="144"/>
      <c r="P48" s="144"/>
      <c r="Q48" s="144"/>
      <c r="R48" s="144"/>
      <c r="S48" s="144"/>
      <c r="T48" s="144"/>
      <c r="U48" s="144"/>
      <c r="V48" s="144"/>
      <c r="W48" s="144"/>
      <c r="X48" s="144"/>
      <c r="Y48" s="144"/>
      <c r="Z48" s="144"/>
      <c r="AA48" s="144"/>
      <c r="AB48" s="144"/>
      <c r="AC48" s="144"/>
      <c r="AD48" s="144"/>
      <c r="AE48" s="144"/>
      <c r="AF48" s="144"/>
      <c r="AG48" s="144"/>
      <c r="AH48" s="144"/>
      <c r="AI48" s="144"/>
      <c r="AJ48" s="144"/>
      <c r="AK48" s="144"/>
      <c r="AL48" s="144"/>
      <c r="AM48" s="144"/>
      <c r="AN48" s="144"/>
      <c r="AO48" s="144"/>
      <c r="AP48" s="144"/>
      <c r="AQ48" s="144"/>
      <c r="AR48" s="144"/>
      <c r="AS48" s="144"/>
      <c r="AT48" s="144"/>
      <c r="AU48" s="144"/>
      <c r="AV48" s="144"/>
      <c r="AW48" s="121"/>
      <c r="AX48" s="121"/>
      <c r="AY48" s="103"/>
      <c r="AZ48" s="104"/>
      <c r="BA48" s="122"/>
      <c r="BB48" s="104"/>
      <c r="BC48" s="104"/>
      <c r="BD48" s="104"/>
      <c r="BE48" s="104"/>
      <c r="BF48" s="104"/>
      <c r="BG48" s="104"/>
      <c r="BH48" s="104"/>
      <c r="BI48" s="104"/>
      <c r="BJ48" s="104"/>
      <c r="BK48" s="104"/>
      <c r="BL48" s="104"/>
      <c r="BM48" s="104"/>
      <c r="BN48" s="104"/>
      <c r="BO48" s="104"/>
      <c r="BP48" s="104"/>
      <c r="BQ48" s="101"/>
      <c r="BR48" s="101"/>
      <c r="BS48" s="101"/>
      <c r="BT48" s="101"/>
      <c r="BU48" s="101"/>
      <c r="BV48" s="101"/>
      <c r="BW48" s="101"/>
      <c r="BX48" s="101"/>
      <c r="BY48" s="101"/>
      <c r="BZ48" s="101"/>
      <c r="CA48" s="101"/>
      <c r="CB48" s="101"/>
      <c r="CC48" s="101"/>
      <c r="CD48" s="101"/>
      <c r="CE48" s="101"/>
      <c r="CF48" s="101"/>
      <c r="CG48" s="101"/>
      <c r="CH48" s="101"/>
      <c r="CI48" s="101"/>
      <c r="CJ48" s="101"/>
      <c r="CK48" s="101"/>
      <c r="CL48" s="101"/>
      <c r="CM48" s="101"/>
      <c r="CN48" s="101"/>
      <c r="CO48" s="101"/>
      <c r="CP48" s="101"/>
    </row>
    <row r="49" spans="1:94" ht="15.75" thickBot="1" x14ac:dyDescent="0.3">
      <c r="A49" s="145"/>
      <c r="B49" s="145"/>
      <c r="C49" s="146"/>
      <c r="D49" s="145"/>
      <c r="E49" s="145"/>
      <c r="F49" s="145"/>
      <c r="G49" s="145"/>
      <c r="H49" s="145"/>
      <c r="I49" s="145"/>
      <c r="J49" s="145"/>
      <c r="K49" s="145"/>
      <c r="L49" s="145"/>
      <c r="M49" s="145"/>
      <c r="N49" s="147"/>
      <c r="O49" s="145"/>
      <c r="P49" s="145"/>
      <c r="Q49" s="145"/>
      <c r="R49" s="145"/>
      <c r="S49" s="145"/>
      <c r="T49" s="145"/>
      <c r="U49" s="145"/>
      <c r="V49" s="145"/>
      <c r="W49" s="145"/>
      <c r="X49" s="145"/>
      <c r="Y49" s="145"/>
      <c r="Z49" s="145"/>
      <c r="AA49" s="145"/>
      <c r="AB49" s="145"/>
      <c r="AC49" s="148"/>
      <c r="AD49" s="145"/>
      <c r="AE49" s="145"/>
      <c r="AF49" s="145"/>
      <c r="AG49" s="145"/>
      <c r="AH49" s="145"/>
      <c r="AI49" s="145"/>
      <c r="AJ49" s="145"/>
      <c r="AK49" s="145"/>
      <c r="AL49" s="145"/>
      <c r="AM49" s="145"/>
      <c r="AN49" s="145"/>
      <c r="AO49" s="145"/>
      <c r="AP49" s="145"/>
      <c r="AQ49" s="145"/>
      <c r="AR49" s="145"/>
      <c r="AS49" s="145"/>
      <c r="AT49" s="145"/>
      <c r="AU49" s="145"/>
      <c r="AV49" s="145"/>
      <c r="AW49" s="85"/>
      <c r="AX49" s="85"/>
      <c r="AY49" s="123"/>
      <c r="AZ49" s="111"/>
      <c r="BA49" s="111"/>
      <c r="BB49" s="111"/>
      <c r="BC49" s="111"/>
      <c r="BD49" s="111"/>
      <c r="BE49" s="111"/>
      <c r="BF49" s="111"/>
      <c r="BG49" s="111"/>
      <c r="BH49" s="111"/>
      <c r="BI49" s="111"/>
      <c r="BJ49" s="111"/>
      <c r="BK49" s="111"/>
      <c r="BL49" s="111"/>
      <c r="BM49" s="111"/>
      <c r="BN49" s="111"/>
      <c r="BO49" s="111"/>
      <c r="BP49" s="111"/>
      <c r="BQ49" s="111"/>
      <c r="BR49" s="111"/>
      <c r="BS49" s="111"/>
      <c r="BT49" s="111"/>
      <c r="BU49" s="111"/>
      <c r="BV49" s="111"/>
      <c r="BW49" s="111"/>
      <c r="BX49" s="111"/>
      <c r="BY49" s="111"/>
      <c r="BZ49" s="111"/>
      <c r="CA49" s="111"/>
      <c r="CB49" s="111"/>
      <c r="CC49" s="111"/>
      <c r="CD49" s="111"/>
      <c r="CE49" s="111"/>
      <c r="CF49" s="111"/>
      <c r="CG49" s="111"/>
      <c r="CH49" s="111"/>
      <c r="CI49" s="111"/>
      <c r="CJ49" s="111"/>
      <c r="CK49" s="111"/>
      <c r="CL49" s="111"/>
      <c r="CM49" s="111"/>
      <c r="CN49" s="111"/>
      <c r="CO49" s="111"/>
      <c r="CP49" s="111"/>
    </row>
    <row r="50" spans="1:94" ht="43.5" customHeight="1" thickBot="1" x14ac:dyDescent="0.3">
      <c r="A50" s="149" t="s">
        <v>116</v>
      </c>
      <c r="B50" s="150"/>
      <c r="C50" s="151"/>
      <c r="D50" s="152" t="s">
        <v>117</v>
      </c>
      <c r="E50" s="145"/>
      <c r="F50" s="153" t="s">
        <v>118</v>
      </c>
      <c r="G50" s="154" t="s">
        <v>32</v>
      </c>
      <c r="H50" s="154" t="s">
        <v>119</v>
      </c>
      <c r="I50" s="155" t="s">
        <v>120</v>
      </c>
      <c r="J50" s="144"/>
      <c r="K50" s="145"/>
      <c r="L50" s="145"/>
      <c r="M50" s="145"/>
      <c r="N50" s="145"/>
      <c r="O50" s="145"/>
      <c r="P50" s="145"/>
      <c r="Q50" s="145"/>
      <c r="R50" s="145"/>
      <c r="S50" s="145"/>
      <c r="T50" s="145"/>
      <c r="U50" s="145"/>
      <c r="V50" s="145"/>
      <c r="W50" s="145"/>
      <c r="X50" s="145"/>
      <c r="Y50" s="145"/>
      <c r="Z50" s="145"/>
      <c r="AA50" s="145"/>
      <c r="AB50" s="145"/>
      <c r="AC50" s="145"/>
      <c r="AD50" s="145"/>
      <c r="AE50" s="145"/>
      <c r="AF50" s="145"/>
      <c r="AG50" s="145"/>
      <c r="AH50" s="145"/>
      <c r="AI50" s="145"/>
      <c r="AJ50" s="145"/>
      <c r="AK50" s="145"/>
      <c r="AL50" s="145"/>
      <c r="AM50" s="145"/>
      <c r="AN50" s="145"/>
      <c r="AO50" s="145"/>
      <c r="AP50" s="145"/>
      <c r="AQ50" s="156" t="s">
        <v>118</v>
      </c>
      <c r="AR50" s="145"/>
      <c r="AS50" s="151"/>
      <c r="AT50" s="154" t="s">
        <v>1</v>
      </c>
      <c r="AU50" s="154" t="s">
        <v>121</v>
      </c>
      <c r="AV50" s="157" t="s">
        <v>122</v>
      </c>
      <c r="AW50" s="124" t="s">
        <v>123</v>
      </c>
      <c r="AX50" s="121"/>
      <c r="AY50" s="123"/>
      <c r="AZ50" s="111"/>
      <c r="BA50" s="111"/>
      <c r="BB50" s="111"/>
      <c r="BC50" s="111"/>
      <c r="BD50" s="111"/>
      <c r="BE50" s="111"/>
      <c r="BF50" s="111"/>
      <c r="BG50" s="111"/>
      <c r="BH50" s="111"/>
      <c r="BI50" s="111"/>
      <c r="BJ50" s="111"/>
      <c r="BK50" s="111"/>
      <c r="BL50" s="111"/>
      <c r="BM50" s="111"/>
      <c r="BN50" s="111"/>
      <c r="BO50" s="111"/>
      <c r="BP50" s="111"/>
      <c r="BQ50" s="111"/>
      <c r="BR50" s="111"/>
      <c r="BS50" s="111"/>
      <c r="BT50" s="111"/>
      <c r="BU50" s="111"/>
      <c r="BV50" s="111"/>
      <c r="BW50" s="111"/>
      <c r="BX50" s="111"/>
      <c r="BY50" s="111"/>
      <c r="BZ50" s="111"/>
      <c r="CA50" s="111"/>
      <c r="CB50" s="111"/>
      <c r="CC50" s="111"/>
      <c r="CD50" s="111"/>
      <c r="CE50" s="111"/>
      <c r="CF50" s="111"/>
      <c r="CG50" s="111"/>
      <c r="CH50" s="111"/>
      <c r="CI50" s="111"/>
      <c r="CJ50" s="111"/>
      <c r="CK50" s="111"/>
      <c r="CL50" s="111"/>
      <c r="CM50" s="111"/>
      <c r="CN50" s="111"/>
      <c r="CO50" s="111"/>
      <c r="CP50" s="111"/>
    </row>
    <row r="51" spans="1:94" ht="58.5" customHeight="1" thickBot="1" x14ac:dyDescent="0.3">
      <c r="A51" s="158" t="s">
        <v>124</v>
      </c>
      <c r="B51" s="150"/>
      <c r="C51" s="159" t="s">
        <v>34</v>
      </c>
      <c r="D51" s="160">
        <v>0.35</v>
      </c>
      <c r="E51" s="145"/>
      <c r="F51" s="161" t="s">
        <v>125</v>
      </c>
      <c r="G51" s="162" t="s">
        <v>126</v>
      </c>
      <c r="H51" s="162" t="s">
        <v>127</v>
      </c>
      <c r="I51" s="137" t="s">
        <v>128</v>
      </c>
      <c r="J51" s="48"/>
      <c r="K51" s="145"/>
      <c r="L51" s="145"/>
      <c r="M51" s="145"/>
      <c r="N51" s="145"/>
      <c r="O51" s="145"/>
      <c r="P51" s="145"/>
      <c r="Q51" s="145"/>
      <c r="R51" s="145"/>
      <c r="S51" s="145"/>
      <c r="T51" s="145"/>
      <c r="U51" s="145"/>
      <c r="V51" s="145"/>
      <c r="W51" s="145"/>
      <c r="X51" s="145"/>
      <c r="Y51" s="145"/>
      <c r="Z51" s="145"/>
      <c r="AA51" s="145"/>
      <c r="AB51" s="145"/>
      <c r="AC51" s="145"/>
      <c r="AD51" s="145"/>
      <c r="AE51" s="145"/>
      <c r="AF51" s="145"/>
      <c r="AG51" s="145"/>
      <c r="AH51" s="145"/>
      <c r="AI51" s="145"/>
      <c r="AJ51" s="145"/>
      <c r="AK51" s="145"/>
      <c r="AL51" s="145"/>
      <c r="AM51" s="145"/>
      <c r="AN51" s="145"/>
      <c r="AO51" s="145"/>
      <c r="AP51" s="145"/>
      <c r="AQ51" s="163" t="str">
        <f>F3</f>
        <v>Low</v>
      </c>
      <c r="AR51" s="145"/>
      <c r="AS51" s="159" t="s">
        <v>5</v>
      </c>
      <c r="AT51" s="255">
        <f>IFERROR((SUMIFS($AU$9:$AU$43,$E$9:$E$43,"USA")*(1-AQ45))/(SUMIFS($AR$9:$AR$43,$E$9:$E$43,"USA")),0)</f>
        <v>230</v>
      </c>
      <c r="AU51" s="53">
        <f>IFERROR((SUMIFS($BK$9:$BK$43,$E$9:$E$43,"USA")),0)</f>
        <v>20150</v>
      </c>
      <c r="AV51" s="31">
        <f>IFERROR(IF($AQ$45=0,SUMIFS($BK$9:$BK$43,$E$9:$E$43,"USA")/SUMIFS($AU$9:$AU$43,$E$9:$E$43,"USA"),SUMIFS($BK$9:$BK$43,$E$9:$E$43,"USA")/(SUMIFS($AU$9:$AU$43,$E$9:$E$43,"USA")*(1-AQ45))),0)</f>
        <v>0.28260869565217389</v>
      </c>
      <c r="AW51" s="425">
        <v>0.35</v>
      </c>
      <c r="AX51" s="237"/>
      <c r="AY51" s="123"/>
      <c r="AZ51" s="111"/>
      <c r="BA51" s="111"/>
      <c r="BB51" s="111"/>
      <c r="BC51" s="111"/>
      <c r="BD51" s="111"/>
      <c r="BE51" s="111"/>
      <c r="BF51" s="111"/>
      <c r="BG51" s="111"/>
      <c r="BH51" s="111"/>
      <c r="BI51" s="111"/>
      <c r="BJ51" s="111"/>
      <c r="BK51" s="111"/>
      <c r="BL51" s="111"/>
      <c r="BM51" s="111"/>
      <c r="BN51" s="111"/>
      <c r="BO51" s="111"/>
      <c r="BP51" s="111"/>
      <c r="BQ51" s="111"/>
      <c r="BR51" s="111"/>
      <c r="BS51" s="111"/>
      <c r="BT51" s="111"/>
      <c r="BU51" s="111"/>
      <c r="BV51" s="111"/>
      <c r="BW51" s="111"/>
      <c r="BX51" s="111"/>
      <c r="BY51" s="111"/>
      <c r="BZ51" s="111"/>
      <c r="CA51" s="111"/>
      <c r="CB51" s="111"/>
      <c r="CC51" s="111"/>
      <c r="CD51" s="111"/>
      <c r="CE51" s="111"/>
      <c r="CF51" s="111"/>
      <c r="CG51" s="111"/>
      <c r="CH51" s="111"/>
      <c r="CI51" s="111"/>
      <c r="CJ51" s="111"/>
      <c r="CK51" s="111"/>
      <c r="CL51" s="111"/>
      <c r="CM51" s="111"/>
      <c r="CN51" s="111"/>
      <c r="CO51" s="111"/>
      <c r="CP51" s="111"/>
    </row>
    <row r="52" spans="1:94" ht="30.75" thickBot="1" x14ac:dyDescent="0.3">
      <c r="A52" s="164" t="s">
        <v>129</v>
      </c>
      <c r="B52" s="150"/>
      <c r="C52" s="165" t="s">
        <v>130</v>
      </c>
      <c r="D52" s="166">
        <v>0.3</v>
      </c>
      <c r="E52" s="145"/>
      <c r="F52" s="161" t="s">
        <v>131</v>
      </c>
      <c r="G52" s="167" t="s">
        <v>132</v>
      </c>
      <c r="H52" s="167" t="s">
        <v>119</v>
      </c>
      <c r="I52" s="137" t="s">
        <v>133</v>
      </c>
      <c r="J52" s="48"/>
      <c r="K52" s="145"/>
      <c r="L52" s="145"/>
      <c r="M52" s="145"/>
      <c r="N52" s="145"/>
      <c r="O52" s="145"/>
      <c r="P52" s="145"/>
      <c r="Q52" s="145"/>
      <c r="R52" s="145"/>
      <c r="S52" s="145"/>
      <c r="T52" s="145"/>
      <c r="U52" s="145"/>
      <c r="V52" s="145"/>
      <c r="W52" s="145"/>
      <c r="X52" s="145"/>
      <c r="Y52" s="145"/>
      <c r="Z52" s="145"/>
      <c r="AA52" s="145"/>
      <c r="AB52" s="145"/>
      <c r="AC52" s="145"/>
      <c r="AD52" s="145"/>
      <c r="AE52" s="145"/>
      <c r="AF52" s="145"/>
      <c r="AG52" s="145"/>
      <c r="AH52" s="145"/>
      <c r="AI52" s="145"/>
      <c r="AJ52" s="145"/>
      <c r="AK52" s="145"/>
      <c r="AL52" s="145"/>
      <c r="AM52" s="145"/>
      <c r="AN52" s="145"/>
      <c r="AO52" s="145"/>
      <c r="AP52" s="145"/>
      <c r="AQ52" s="168"/>
      <c r="AR52" s="145"/>
      <c r="AS52" s="159" t="s">
        <v>8</v>
      </c>
      <c r="AT52" s="255">
        <f>IFERROR((SUMIFS($AU$9:$AU$43,$E$9:$E$43,"India")*(1-AQ45))/(SUMIFS($AR$9:$AR$43,$E$9:$E$43,"India")),0)</f>
        <v>0</v>
      </c>
      <c r="AU52" s="53">
        <f>IFERROR((SUMIFS($BK$9:$BK$43,$E$9:$E$43,"India")),0)</f>
        <v>0</v>
      </c>
      <c r="AV52" s="31">
        <f>IFERROR(IF($AQ$45=0,SUMIFS($BK$9:$BK$43,$E$9:$E$43,"India")/SUMIFS($AU$9:$AU$43,$E$9:$E$43,"India"),SUMIFS($BK$9:$BK$43,$E$9:$E$43,"India")/(SUMIFS($AU$9:$AU$43,$E$9:$E$43,"India")*(1-AQ45))),0)</f>
        <v>0</v>
      </c>
      <c r="AW52" s="426"/>
      <c r="AX52" s="237"/>
      <c r="AY52" s="123"/>
      <c r="AZ52" s="111"/>
      <c r="BA52" s="111"/>
      <c r="BB52" s="111"/>
      <c r="BC52" s="111"/>
      <c r="BD52" s="111"/>
      <c r="BE52" s="111"/>
      <c r="BF52" s="111"/>
      <c r="BG52" s="111"/>
      <c r="BH52" s="111"/>
      <c r="BI52" s="111"/>
      <c r="BJ52" s="111"/>
      <c r="BK52" s="111"/>
      <c r="BL52" s="111"/>
      <c r="BM52" s="111"/>
      <c r="BN52" s="111"/>
      <c r="BO52" s="111"/>
      <c r="BP52" s="111"/>
      <c r="BQ52" s="111"/>
      <c r="BR52" s="111"/>
      <c r="BS52" s="111"/>
      <c r="BT52" s="111"/>
      <c r="BU52" s="111"/>
      <c r="BV52" s="111"/>
      <c r="BW52" s="111"/>
      <c r="BX52" s="111"/>
      <c r="BY52" s="111"/>
      <c r="BZ52" s="111"/>
      <c r="CA52" s="111"/>
      <c r="CB52" s="111"/>
      <c r="CC52" s="111"/>
      <c r="CD52" s="111"/>
      <c r="CE52" s="111"/>
      <c r="CF52" s="111"/>
      <c r="CG52" s="111"/>
      <c r="CH52" s="111"/>
      <c r="CI52" s="111"/>
      <c r="CJ52" s="111"/>
      <c r="CK52" s="111"/>
      <c r="CL52" s="111"/>
      <c r="CM52" s="111"/>
      <c r="CN52" s="111"/>
      <c r="CO52" s="111"/>
      <c r="CP52" s="111"/>
    </row>
    <row r="53" spans="1:94" ht="28.15" customHeight="1" thickBot="1" x14ac:dyDescent="0.3">
      <c r="A53" s="164" t="s">
        <v>134</v>
      </c>
      <c r="B53" s="150"/>
      <c r="C53" s="145"/>
      <c r="D53" s="145"/>
      <c r="E53" s="169"/>
      <c r="F53" s="170" t="s">
        <v>135</v>
      </c>
      <c r="G53" s="171" t="s">
        <v>136</v>
      </c>
      <c r="H53" s="171" t="s">
        <v>119</v>
      </c>
      <c r="I53" s="172" t="s">
        <v>137</v>
      </c>
      <c r="J53" s="173"/>
      <c r="K53" s="145"/>
      <c r="L53" s="145"/>
      <c r="M53" s="145"/>
      <c r="N53" s="145"/>
      <c r="O53" s="145"/>
      <c r="P53" s="145"/>
      <c r="Q53" s="145"/>
      <c r="R53" s="145"/>
      <c r="S53" s="145"/>
      <c r="T53" s="145"/>
      <c r="U53" s="145"/>
      <c r="V53" s="145"/>
      <c r="W53" s="145"/>
      <c r="X53" s="145"/>
      <c r="Y53" s="145"/>
      <c r="Z53" s="145"/>
      <c r="AA53" s="145"/>
      <c r="AB53" s="145"/>
      <c r="AC53" s="145"/>
      <c r="AD53" s="145"/>
      <c r="AE53" s="145"/>
      <c r="AF53" s="145"/>
      <c r="AG53" s="145"/>
      <c r="AH53" s="145"/>
      <c r="AI53" s="145"/>
      <c r="AJ53" s="145"/>
      <c r="AK53" s="145"/>
      <c r="AL53" s="145"/>
      <c r="AM53" s="145"/>
      <c r="AN53" s="145"/>
      <c r="AO53" s="145"/>
      <c r="AP53" s="145"/>
      <c r="AQ53" s="174"/>
      <c r="AR53" s="145"/>
      <c r="AS53" s="165" t="s">
        <v>11</v>
      </c>
      <c r="AT53" s="256">
        <f>IFERROR((AU44*(1-AQ45))/AR44,0)</f>
        <v>230</v>
      </c>
      <c r="AU53" s="132">
        <f>BK44</f>
        <v>20150</v>
      </c>
      <c r="AV53" s="30">
        <f>IFERROR(IF($AQ$45=0,$AU$53/$AU$44,$AU$53/$AU$45),0)</f>
        <v>0.28260869565217389</v>
      </c>
      <c r="AW53" s="427"/>
      <c r="AX53" s="237"/>
      <c r="AY53" s="123"/>
      <c r="AZ53" s="111"/>
      <c r="BA53" s="111"/>
      <c r="BB53" s="111"/>
      <c r="BC53" s="111"/>
      <c r="BD53" s="111"/>
      <c r="BE53" s="111"/>
      <c r="BF53" s="111"/>
      <c r="BG53" s="111"/>
      <c r="BH53" s="111"/>
      <c r="BI53" s="111"/>
      <c r="BJ53" s="111"/>
      <c r="BK53" s="111"/>
      <c r="BL53" s="111"/>
      <c r="BM53" s="111"/>
      <c r="BN53" s="111"/>
      <c r="BO53" s="111"/>
      <c r="BP53" s="111"/>
      <c r="BQ53" s="111"/>
      <c r="BR53" s="111"/>
      <c r="BS53" s="111"/>
      <c r="BT53" s="111"/>
      <c r="BU53" s="111"/>
      <c r="BV53" s="111"/>
      <c r="BW53" s="111"/>
      <c r="BX53" s="111"/>
      <c r="BY53" s="111"/>
      <c r="BZ53" s="111"/>
      <c r="CA53" s="111"/>
      <c r="CB53" s="111"/>
      <c r="CC53" s="111"/>
      <c r="CD53" s="111"/>
      <c r="CE53" s="111"/>
      <c r="CF53" s="111"/>
      <c r="CG53" s="111"/>
      <c r="CH53" s="111"/>
      <c r="CI53" s="111"/>
      <c r="CJ53" s="111"/>
      <c r="CK53" s="111"/>
      <c r="CL53" s="111"/>
      <c r="CM53" s="111"/>
      <c r="CN53" s="111"/>
      <c r="CO53" s="111"/>
      <c r="CP53" s="111"/>
    </row>
    <row r="54" spans="1:94" ht="41.65" customHeight="1" x14ac:dyDescent="0.25">
      <c r="A54" s="164" t="s">
        <v>138</v>
      </c>
      <c r="B54" s="150"/>
      <c r="C54" s="145"/>
      <c r="D54" s="145"/>
      <c r="E54" s="145"/>
      <c r="F54" s="161" t="s">
        <v>139</v>
      </c>
      <c r="G54" s="162" t="s">
        <v>140</v>
      </c>
      <c r="H54" s="171" t="s">
        <v>141</v>
      </c>
      <c r="I54" s="172" t="s">
        <v>142</v>
      </c>
      <c r="J54" s="145"/>
      <c r="K54" s="145"/>
      <c r="L54" s="145"/>
      <c r="M54" s="145"/>
      <c r="N54" s="145"/>
      <c r="O54" s="145"/>
      <c r="P54" s="145"/>
      <c r="Q54" s="145"/>
      <c r="R54" s="145"/>
      <c r="S54" s="145"/>
      <c r="T54" s="145"/>
      <c r="U54" s="145"/>
      <c r="V54" s="145"/>
      <c r="W54" s="145"/>
      <c r="X54" s="145"/>
      <c r="Y54" s="145"/>
      <c r="Z54" s="145"/>
      <c r="AA54" s="145"/>
      <c r="AB54" s="145"/>
      <c r="AC54" s="145"/>
      <c r="AD54" s="145"/>
      <c r="AE54" s="145"/>
      <c r="AF54" s="145"/>
      <c r="AG54" s="145"/>
      <c r="AH54" s="145"/>
      <c r="AI54" s="145"/>
      <c r="AJ54" s="145"/>
      <c r="AK54" s="145"/>
      <c r="AL54" s="145"/>
      <c r="AM54" s="145"/>
      <c r="AN54" s="145"/>
      <c r="AO54" s="145"/>
      <c r="AP54" s="145"/>
      <c r="AQ54" s="145"/>
      <c r="AR54" s="145"/>
      <c r="AS54" s="145"/>
      <c r="AT54" s="145"/>
      <c r="AU54" s="145"/>
      <c r="AV54" s="145"/>
      <c r="AW54" s="85"/>
      <c r="AX54" s="85"/>
      <c r="AY54" s="123"/>
      <c r="AZ54" s="111"/>
      <c r="BA54" s="111"/>
      <c r="BB54" s="111"/>
      <c r="BC54" s="111"/>
      <c r="BD54" s="111"/>
      <c r="BE54" s="111"/>
      <c r="BF54" s="111"/>
      <c r="BG54" s="111"/>
      <c r="BH54" s="111"/>
      <c r="BI54" s="111"/>
      <c r="BJ54" s="111"/>
      <c r="BK54" s="111"/>
      <c r="BL54" s="111"/>
      <c r="BM54" s="111"/>
      <c r="BN54" s="111"/>
      <c r="BO54" s="111"/>
      <c r="BP54" s="111"/>
      <c r="BQ54" s="111"/>
      <c r="BR54" s="111"/>
      <c r="BS54" s="111"/>
      <c r="BT54" s="111"/>
      <c r="BU54" s="111"/>
      <c r="BV54" s="111"/>
      <c r="BW54" s="111"/>
      <c r="BX54" s="111"/>
      <c r="BY54" s="111"/>
      <c r="BZ54" s="111"/>
      <c r="CA54" s="111"/>
      <c r="CB54" s="111"/>
      <c r="CC54" s="111"/>
      <c r="CD54" s="111"/>
      <c r="CE54" s="111"/>
      <c r="CF54" s="111"/>
      <c r="CG54" s="111"/>
      <c r="CH54" s="111"/>
      <c r="CI54" s="111"/>
      <c r="CJ54" s="111"/>
      <c r="CK54" s="111"/>
      <c r="CL54" s="111"/>
      <c r="CM54" s="111"/>
      <c r="CN54" s="111"/>
      <c r="CO54" s="111"/>
      <c r="CP54" s="111"/>
    </row>
    <row r="55" spans="1:94" ht="98.25" customHeight="1" thickBot="1" x14ac:dyDescent="0.3">
      <c r="A55" s="367" t="s">
        <v>143</v>
      </c>
      <c r="B55" s="150"/>
      <c r="C55" s="145"/>
      <c r="D55" s="145"/>
      <c r="E55" s="145"/>
      <c r="F55" s="176" t="s">
        <v>144</v>
      </c>
      <c r="G55" s="177" t="s">
        <v>132</v>
      </c>
      <c r="H55" s="178" t="s">
        <v>119</v>
      </c>
      <c r="I55" s="179" t="s">
        <v>133</v>
      </c>
      <c r="J55" s="145"/>
      <c r="K55" s="145"/>
      <c r="L55" s="145"/>
      <c r="M55" s="145"/>
      <c r="N55" s="145"/>
      <c r="O55" s="145"/>
      <c r="P55" s="145"/>
      <c r="Q55" s="145"/>
      <c r="R55" s="145"/>
      <c r="S55" s="145"/>
      <c r="T55" s="145"/>
      <c r="U55" s="145"/>
      <c r="V55" s="145"/>
      <c r="W55" s="145"/>
      <c r="X55" s="145"/>
      <c r="Y55" s="145"/>
      <c r="Z55" s="145"/>
      <c r="AA55" s="145"/>
      <c r="AB55" s="145"/>
      <c r="AC55" s="145"/>
      <c r="AD55" s="145"/>
      <c r="AE55" s="145"/>
      <c r="AF55" s="145"/>
      <c r="AG55" s="145"/>
      <c r="AH55" s="145"/>
      <c r="AI55" s="145"/>
      <c r="AJ55" s="145"/>
      <c r="AK55" s="145"/>
      <c r="AL55" s="145"/>
      <c r="AM55" s="145"/>
      <c r="AN55" s="145"/>
      <c r="AO55" s="145"/>
      <c r="AP55" s="145"/>
      <c r="AQ55" s="145"/>
      <c r="AR55" s="145"/>
      <c r="AS55" s="145"/>
      <c r="AT55" s="145"/>
      <c r="AU55" s="145"/>
      <c r="AV55" s="145"/>
      <c r="AW55" s="85"/>
      <c r="AX55" s="85"/>
      <c r="AY55" s="123"/>
      <c r="AZ55" s="111"/>
      <c r="BA55" s="111"/>
      <c r="BB55" s="111"/>
      <c r="BC55" s="111"/>
      <c r="BD55" s="111"/>
      <c r="BE55" s="111"/>
      <c r="BF55" s="111"/>
      <c r="BG55" s="111"/>
      <c r="BH55" s="111"/>
      <c r="BI55" s="111"/>
      <c r="BJ55" s="111"/>
      <c r="BK55" s="111"/>
      <c r="BL55" s="111"/>
      <c r="BM55" s="111"/>
      <c r="BN55" s="111"/>
      <c r="BO55" s="111"/>
      <c r="BP55" s="111"/>
      <c r="BQ55" s="111"/>
      <c r="BR55" s="111"/>
      <c r="BS55" s="111"/>
      <c r="BT55" s="111"/>
      <c r="BU55" s="111"/>
      <c r="BV55" s="111"/>
      <c r="BW55" s="111"/>
      <c r="BX55" s="111"/>
      <c r="BY55" s="111"/>
      <c r="BZ55" s="111"/>
      <c r="CA55" s="111"/>
      <c r="CB55" s="111"/>
      <c r="CC55" s="111"/>
      <c r="CD55" s="111"/>
      <c r="CE55" s="111"/>
      <c r="CF55" s="111"/>
      <c r="CG55" s="111"/>
      <c r="CH55" s="111"/>
      <c r="CI55" s="111"/>
      <c r="CJ55" s="111"/>
      <c r="CK55" s="111"/>
      <c r="CL55" s="111"/>
      <c r="CM55" s="111"/>
      <c r="CN55" s="111"/>
      <c r="CO55" s="111"/>
      <c r="CP55" s="111"/>
    </row>
    <row r="56" spans="1:94" ht="56.25" customHeight="1" thickBot="1" x14ac:dyDescent="0.3">
      <c r="A56" s="175" t="s">
        <v>145</v>
      </c>
      <c r="B56" s="150"/>
      <c r="C56" s="145"/>
      <c r="D56" s="145"/>
      <c r="E56" s="145"/>
      <c r="F56" s="144"/>
      <c r="G56" s="365"/>
      <c r="H56" s="366"/>
      <c r="I56" s="366"/>
      <c r="J56" s="145"/>
      <c r="K56" s="145"/>
      <c r="L56" s="145"/>
      <c r="M56" s="145"/>
      <c r="N56" s="145"/>
      <c r="O56" s="145"/>
      <c r="P56" s="145"/>
      <c r="Q56" s="145"/>
      <c r="R56" s="145"/>
      <c r="S56" s="145"/>
      <c r="T56" s="145"/>
      <c r="U56" s="145"/>
      <c r="V56" s="145"/>
      <c r="W56" s="145"/>
      <c r="X56" s="145"/>
      <c r="Y56" s="145"/>
      <c r="Z56" s="145"/>
      <c r="AA56" s="145"/>
      <c r="AB56" s="145"/>
      <c r="AC56" s="145"/>
      <c r="AD56" s="145"/>
      <c r="AE56" s="145"/>
      <c r="AF56" s="145"/>
      <c r="AG56" s="145"/>
      <c r="AH56" s="145"/>
      <c r="AI56" s="145"/>
      <c r="AJ56" s="145"/>
      <c r="AK56" s="145"/>
      <c r="AL56" s="145"/>
      <c r="AM56" s="145"/>
      <c r="AN56" s="145"/>
      <c r="AO56" s="145"/>
      <c r="AP56" s="145"/>
      <c r="AQ56" s="145"/>
      <c r="AR56" s="145"/>
      <c r="AS56" s="145"/>
      <c r="AT56" s="145"/>
      <c r="AU56" s="145"/>
      <c r="AV56" s="145"/>
      <c r="AW56" s="85"/>
      <c r="AX56" s="85"/>
      <c r="AY56" s="123"/>
      <c r="AZ56" s="111"/>
      <c r="BA56" s="111"/>
      <c r="BB56" s="111"/>
      <c r="BC56" s="111"/>
      <c r="BD56" s="111"/>
      <c r="BE56" s="111"/>
      <c r="BF56" s="111"/>
      <c r="BG56" s="111"/>
      <c r="BH56" s="111"/>
      <c r="BI56" s="111"/>
      <c r="BJ56" s="111"/>
      <c r="BK56" s="111"/>
      <c r="BL56" s="111"/>
      <c r="BM56" s="111"/>
      <c r="BN56" s="111"/>
      <c r="BO56" s="111"/>
      <c r="BP56" s="111"/>
      <c r="BQ56" s="111"/>
      <c r="BR56" s="111"/>
      <c r="BS56" s="111"/>
      <c r="BT56" s="111"/>
      <c r="BU56" s="111"/>
      <c r="BV56" s="111"/>
      <c r="BW56" s="111"/>
      <c r="BX56" s="111"/>
      <c r="BY56" s="111"/>
      <c r="BZ56" s="111"/>
      <c r="CA56" s="111"/>
      <c r="CB56" s="111"/>
      <c r="CC56" s="111"/>
      <c r="CD56" s="111"/>
      <c r="CE56" s="111"/>
      <c r="CF56" s="111"/>
      <c r="CG56" s="111"/>
      <c r="CH56" s="111"/>
      <c r="CI56" s="111"/>
      <c r="CJ56" s="111"/>
      <c r="CK56" s="111"/>
      <c r="CL56" s="111"/>
      <c r="CM56" s="111"/>
      <c r="CN56" s="111"/>
      <c r="CO56" s="111"/>
      <c r="CP56" s="111"/>
    </row>
    <row r="57" spans="1:94" x14ac:dyDescent="0.25">
      <c r="A57" s="125"/>
      <c r="B57" s="126"/>
      <c r="C57" s="138"/>
      <c r="D57" s="138"/>
      <c r="E57" s="138"/>
      <c r="F57" s="138"/>
      <c r="G57" s="138"/>
      <c r="H57" s="138"/>
      <c r="I57" s="138"/>
      <c r="J57" s="139"/>
      <c r="K57" s="138"/>
      <c r="L57" s="138"/>
      <c r="M57" s="138"/>
      <c r="N57" s="138"/>
      <c r="O57" s="138"/>
      <c r="P57" s="138"/>
      <c r="Q57" s="138"/>
      <c r="R57" s="138"/>
      <c r="S57" s="138"/>
      <c r="T57" s="138"/>
      <c r="U57" s="138"/>
      <c r="V57" s="138"/>
      <c r="W57" s="138"/>
      <c r="X57" s="138"/>
      <c r="Y57" s="138"/>
      <c r="Z57" s="138"/>
      <c r="AA57" s="138"/>
      <c r="AB57" s="138"/>
      <c r="AC57" s="138"/>
      <c r="AD57" s="138"/>
      <c r="AE57" s="138"/>
      <c r="AF57" s="138"/>
      <c r="AG57" s="138"/>
      <c r="AH57" s="138"/>
      <c r="AI57" s="138"/>
      <c r="AJ57" s="138"/>
      <c r="AK57" s="138"/>
      <c r="AL57" s="138"/>
      <c r="AM57" s="138"/>
      <c r="AN57" s="138"/>
      <c r="AO57" s="138"/>
      <c r="AP57" s="138"/>
      <c r="AQ57" s="138"/>
      <c r="AR57" s="138"/>
      <c r="AS57" s="138"/>
      <c r="AT57" s="138"/>
      <c r="AU57" s="138"/>
      <c r="AV57" s="138"/>
      <c r="AW57" s="138"/>
      <c r="AX57" s="138"/>
      <c r="AY57" s="140"/>
    </row>
    <row r="61" spans="1:94" ht="14.65" customHeight="1" x14ac:dyDescent="0.25"/>
  </sheetData>
  <sheetProtection algorithmName="SHA-512" hashValue="xgLC3TmV6Z9IN4mVhdRBwkNg8yG/2DzvsESZe5jpsLf+/cOpUcf5iKA//mpVy9j5bZTe0JOiL7GAbA4XWoqtng==" saltValue="Y9/d92LRwmpXFW7/j6qhIQ==" spinCount="100000" sheet="1" formatColumns="0" formatRows="0"/>
  <mergeCells count="22">
    <mergeCell ref="AW51:AW53"/>
    <mergeCell ref="AU47:AW47"/>
    <mergeCell ref="AS5:AS8"/>
    <mergeCell ref="F5:F8"/>
    <mergeCell ref="G4:J4"/>
    <mergeCell ref="B5:B8"/>
    <mergeCell ref="AX5:AX8"/>
    <mergeCell ref="AS4:AU4"/>
    <mergeCell ref="A5:A8"/>
    <mergeCell ref="C5:C8"/>
    <mergeCell ref="E5:E8"/>
    <mergeCell ref="D5:D8"/>
    <mergeCell ref="AR5:AR8"/>
    <mergeCell ref="AQ5:AQ8"/>
    <mergeCell ref="BL5:BL8"/>
    <mergeCell ref="AT5:AT8"/>
    <mergeCell ref="AV5:AV8"/>
    <mergeCell ref="BI5:BI8"/>
    <mergeCell ref="AU5:AU8"/>
    <mergeCell ref="BJ5:BJ8"/>
    <mergeCell ref="AW5:AW8"/>
    <mergeCell ref="BK5:BK8"/>
  </mergeCells>
  <phoneticPr fontId="3" type="noConversion"/>
  <conditionalFormatting sqref="AQ51 AQ53">
    <cfRule type="cellIs" dxfId="2" priority="3" operator="equal">
      <formula>"High"</formula>
    </cfRule>
  </conditionalFormatting>
  <conditionalFormatting sqref="AV53">
    <cfRule type="cellIs" dxfId="1" priority="4" operator="lessThan">
      <formula>0.35</formula>
    </cfRule>
    <cfRule type="cellIs" dxfId="0" priority="5" operator="greaterThanOrEqual">
      <formula>0.35</formula>
    </cfRule>
  </conditionalFormatting>
  <dataValidations count="3">
    <dataValidation type="list" allowBlank="1" showInputMessage="1" showErrorMessage="1" sqref="AR4" xr:uid="{29D2429B-C624-4DC5-A425-60D86FCFF787}">
      <formula1>"None, Bottom Line, Hourly Rate"</formula1>
    </dataValidation>
    <dataValidation type="custom" allowBlank="1" showInputMessage="1" showErrorMessage="1" error="Select Discount Type of &quot;Bottom Line&quot; to apply a bottom line Discount %." sqref="AQ45" xr:uid="{BA04981A-DA22-465A-94E5-BB86276AAC03}">
      <formula1>$AR$4="Bottom Line"</formula1>
    </dataValidation>
    <dataValidation type="custom" allowBlank="1" showInputMessage="1" showErrorMessage="1" error="Select Discount Type of Hourly Rate if you want to apply a line item discount." sqref="AQ9:AQ43" xr:uid="{37B686E7-7947-4658-A7C4-35A846901633}">
      <formula1>$AR$4="Hourly Rate"</formula1>
    </dataValidation>
  </dataValidations>
  <pageMargins left="0.7" right="0.7" top="0.75" bottom="0.75" header="0.3" footer="0.3"/>
  <pageSetup orientation="portrait" r:id="rId1"/>
  <ignoredErrors>
    <ignoredError sqref="AR9:AR27 AR28:AR43" formulaRange="1"/>
    <ignoredError sqref="AQ44" formula="1"/>
  </ignoredErrors>
  <drawing r:id="rId2"/>
  <legacyDrawing r:id="rId3"/>
  <extLst>
    <ext xmlns:x14="http://schemas.microsoft.com/office/spreadsheetml/2009/9/main" uri="{CCE6A557-97BC-4b89-ADB6-D9C93CAAB3DF}">
      <x14:dataValidations xmlns:xm="http://schemas.microsoft.com/office/excel/2006/main" count="43">
        <x14:dataValidation type="list" allowBlank="1" showInputMessage="1" showErrorMessage="1" xr:uid="{AB10D3CB-6378-40C6-B154-E8AB91464255}">
          <x14:formula1>
            <xm:f>_xlfn.ANCHORARRAY(Picklist!$AN$2)</xm:f>
          </x14:formula1>
          <xm:sqref>D23</xm:sqref>
        </x14:dataValidation>
        <x14:dataValidation type="list" allowBlank="1" showInputMessage="1" showErrorMessage="1" xr:uid="{B9A3E318-3C4B-4E10-9BF2-7E591F9D9447}">
          <x14:formula1>
            <xm:f>_xlfn.ANCHORARRAY(Picklist!$Z$2)</xm:f>
          </x14:formula1>
          <xm:sqref>D9</xm:sqref>
        </x14:dataValidation>
        <x14:dataValidation type="list" allowBlank="1" showInputMessage="1" showErrorMessage="1" xr:uid="{E3809517-9C51-4E4E-8EDB-042BCB2EC4D5}">
          <x14:formula1>
            <xm:f>_xlfn.ANCHORARRAY(Picklist!$AA$2)</xm:f>
          </x14:formula1>
          <xm:sqref>D10</xm:sqref>
        </x14:dataValidation>
        <x14:dataValidation type="list" allowBlank="1" showInputMessage="1" showErrorMessage="1" xr:uid="{07EC8B8F-8095-4038-89FE-314AC9C78B95}">
          <x14:formula1>
            <xm:f>_xlfn.ANCHORARRAY(Picklist!$AB$2)</xm:f>
          </x14:formula1>
          <xm:sqref>D11</xm:sqref>
        </x14:dataValidation>
        <x14:dataValidation type="list" allowBlank="1" showInputMessage="1" showErrorMessage="1" xr:uid="{53AFBE04-8470-4E41-B463-A73B7169BE38}">
          <x14:formula1>
            <xm:f>_xlfn.ANCHORARRAY(Picklist!$AC$2)</xm:f>
          </x14:formula1>
          <xm:sqref>D12</xm:sqref>
        </x14:dataValidation>
        <x14:dataValidation type="list" allowBlank="1" showInputMessage="1" showErrorMessage="1" xr:uid="{81F1ECD6-C8D0-40FA-AC3D-3016130474C0}">
          <x14:formula1>
            <xm:f>_xlfn.ANCHORARRAY(Picklist!$AD$2)</xm:f>
          </x14:formula1>
          <xm:sqref>D13</xm:sqref>
        </x14:dataValidation>
        <x14:dataValidation type="list" allowBlank="1" showInputMessage="1" showErrorMessage="1" xr:uid="{BF7FDA29-4283-4C2B-9E62-1F964C3AC589}">
          <x14:formula1>
            <xm:f>_xlfn.ANCHORARRAY(Picklist!$AE$2)</xm:f>
          </x14:formula1>
          <xm:sqref>D14</xm:sqref>
        </x14:dataValidation>
        <x14:dataValidation type="list" allowBlank="1" showInputMessage="1" showErrorMessage="1" xr:uid="{E3B9D405-FE0E-4BD5-B6D9-031198DB46A0}">
          <x14:formula1>
            <xm:f>_xlfn.ANCHORARRAY(Picklist!$AF$2)</xm:f>
          </x14:formula1>
          <xm:sqref>D15</xm:sqref>
        </x14:dataValidation>
        <x14:dataValidation type="list" allowBlank="1" showInputMessage="1" showErrorMessage="1" xr:uid="{1E96B5E5-9982-48CF-9C91-74FC672EA71E}">
          <x14:formula1>
            <xm:f>_xlfn.ANCHORARRAY(Picklist!$AG$2)</xm:f>
          </x14:formula1>
          <xm:sqref>D16</xm:sqref>
        </x14:dataValidation>
        <x14:dataValidation type="list" allowBlank="1" showInputMessage="1" showErrorMessage="1" xr:uid="{75F46EA1-E17A-4434-A305-4FF77EAED5EB}">
          <x14:formula1>
            <xm:f>_xlfn.ANCHORARRAY(Picklist!$AH$2)</xm:f>
          </x14:formula1>
          <xm:sqref>D17</xm:sqref>
        </x14:dataValidation>
        <x14:dataValidation type="list" allowBlank="1" showInputMessage="1" showErrorMessage="1" xr:uid="{A0B4746C-2DA6-4E1A-A243-86FD25796D2E}">
          <x14:formula1>
            <xm:f>_xlfn.ANCHORARRAY(Picklist!$AI$2)</xm:f>
          </x14:formula1>
          <xm:sqref>D18</xm:sqref>
        </x14:dataValidation>
        <x14:dataValidation type="list" allowBlank="1" showInputMessage="1" showErrorMessage="1" xr:uid="{F5B1E8B1-114F-4D71-8F1D-E1171EC834D4}">
          <x14:formula1>
            <xm:f>_xlfn.ANCHORARRAY(Picklist!$AJ$2)</xm:f>
          </x14:formula1>
          <xm:sqref>D19</xm:sqref>
        </x14:dataValidation>
        <x14:dataValidation type="list" allowBlank="1" showInputMessage="1" showErrorMessage="1" xr:uid="{21F1F4F3-CCC9-427A-9A0D-6FCD88EFFFC5}">
          <x14:formula1>
            <xm:f>_xlfn.ANCHORARRAY(Picklist!$AK$2)</xm:f>
          </x14:formula1>
          <xm:sqref>D20</xm:sqref>
        </x14:dataValidation>
        <x14:dataValidation type="list" allowBlank="1" showInputMessage="1" showErrorMessage="1" xr:uid="{9DEC64F7-C065-484A-89BD-49E72723071D}">
          <x14:formula1>
            <xm:f>_xlfn.ANCHORARRAY(Picklist!$AL$2)</xm:f>
          </x14:formula1>
          <xm:sqref>D21</xm:sqref>
        </x14:dataValidation>
        <x14:dataValidation type="list" allowBlank="1" showInputMessage="1" showErrorMessage="1" xr:uid="{8C8DE553-ABA7-4C9E-B13F-E4AF3FC95ACA}">
          <x14:formula1>
            <xm:f>_xlfn.ANCHORARRAY(Picklist!$AM$2)</xm:f>
          </x14:formula1>
          <xm:sqref>D22</xm:sqref>
        </x14:dataValidation>
        <x14:dataValidation type="list" allowBlank="1" showInputMessage="1" showErrorMessage="1" xr:uid="{8F6B3F47-DEFA-4F77-9D1B-96832FA41769}">
          <x14:formula1>
            <xm:f>Picklist!$C$2:$C$50</xm:f>
          </x14:formula1>
          <xm:sqref>B3</xm:sqref>
        </x14:dataValidation>
        <x14:dataValidation type="list" allowBlank="1" showInputMessage="1" showErrorMessage="1" xr:uid="{DE9D1220-B4C6-459B-B03D-0CE767162243}">
          <x14:formula1>
            <xm:f>Picklist!$D$2:$D$5</xm:f>
          </x14:formula1>
          <xm:sqref>B4</xm:sqref>
        </x14:dataValidation>
        <x14:dataValidation type="list" allowBlank="1" showInputMessage="1" showErrorMessage="1" xr:uid="{F3F1EFA3-8ADE-42C1-AF3C-C3B9C33B2B38}">
          <x14:formula1>
            <xm:f>Picklist!$BJ$2:$BJ$4</xm:f>
          </x14:formula1>
          <xm:sqref>F3</xm:sqref>
        </x14:dataValidation>
        <x14:dataValidation type="list" allowBlank="1" showInputMessage="1" showErrorMessage="1" xr:uid="{46DAF3D9-90C2-4430-9752-66C28B8AE030}">
          <x14:formula1>
            <xm:f>Picklist!$BK$2:$BK$4</xm:f>
          </x14:formula1>
          <xm:sqref>F2</xm:sqref>
        </x14:dataValidation>
        <x14:dataValidation type="list" allowBlank="1" showInputMessage="1" showErrorMessage="1" xr:uid="{C0754096-7766-412B-A801-EC7CD721D401}">
          <x14:formula1>
            <xm:f>Picklist!$A$2:$A$305</xm:f>
          </x14:formula1>
          <xm:sqref>B1</xm:sqref>
        </x14:dataValidation>
        <x14:dataValidation type="list" allowBlank="1" showInputMessage="1" showErrorMessage="1" xr:uid="{14A7A1A9-C140-4A0A-A3DD-118FDFD456BC}">
          <x14:formula1>
            <xm:f>_xlfn.ANCHORARRAY(Picklist!$AO$2)</xm:f>
          </x14:formula1>
          <xm:sqref>D24</xm:sqref>
        </x14:dataValidation>
        <x14:dataValidation type="list" allowBlank="1" showInputMessage="1" showErrorMessage="1" xr:uid="{AEFE1716-DB3A-47A8-97BF-84D882F5242D}">
          <x14:formula1>
            <xm:f>_xlfn.ANCHORARRAY(Picklist!$AP$2)</xm:f>
          </x14:formula1>
          <xm:sqref>D25</xm:sqref>
        </x14:dataValidation>
        <x14:dataValidation type="list" allowBlank="1" showInputMessage="1" showErrorMessage="1" xr:uid="{43A31BB9-80D0-4A63-81CD-2C4EEA114656}">
          <x14:formula1>
            <xm:f>_xlfn.ANCHORARRAY(Picklist!$AQ$2)</xm:f>
          </x14:formula1>
          <xm:sqref>D26</xm:sqref>
        </x14:dataValidation>
        <x14:dataValidation type="list" allowBlank="1" showInputMessage="1" showErrorMessage="1" xr:uid="{AB9CDD0A-A7E1-4C77-B508-2B7CBA72DE22}">
          <x14:formula1>
            <xm:f>_xlfn.ANCHORARRAY(Picklist!$AR$2)</xm:f>
          </x14:formula1>
          <xm:sqref>D27</xm:sqref>
        </x14:dataValidation>
        <x14:dataValidation type="list" allowBlank="1" showInputMessage="1" showErrorMessage="1" xr:uid="{2836D069-E05A-45EF-A2E5-3ECA2D22805C}">
          <x14:formula1>
            <xm:f>_xlfn.ANCHORARRAY(Picklist!$AS$2)</xm:f>
          </x14:formula1>
          <xm:sqref>D28</xm:sqref>
        </x14:dataValidation>
        <x14:dataValidation type="list" allowBlank="1" showInputMessage="1" showErrorMessage="1" xr:uid="{0335325D-EEE6-48AA-B0B8-595143CB985A}">
          <x14:formula1>
            <xm:f>Picklist!$B$2:$B$92</xm:f>
          </x14:formula1>
          <xm:sqref>B2</xm:sqref>
        </x14:dataValidation>
        <x14:dataValidation type="list" allowBlank="1" showInputMessage="1" showErrorMessage="1" xr:uid="{5E504709-D0DB-42BF-A034-FF59119B32F1}">
          <x14:formula1>
            <xm:f>_xlfn.ANCHORARRAY(Picklist!$AT$2)</xm:f>
          </x14:formula1>
          <xm:sqref>D29</xm:sqref>
        </x14:dataValidation>
        <x14:dataValidation type="list" allowBlank="1" showInputMessage="1" showErrorMessage="1" xr:uid="{431E668D-F7EC-4547-A906-8E3CA059A24D}">
          <x14:formula1>
            <xm:f>_xlfn.ANCHORARRAY(Picklist!$AU$2)</xm:f>
          </x14:formula1>
          <xm:sqref>D30</xm:sqref>
        </x14:dataValidation>
        <x14:dataValidation type="list" allowBlank="1" showInputMessage="1" showErrorMessage="1" xr:uid="{1A98A51D-D3AC-4300-A328-CDFB3460F599}">
          <x14:formula1>
            <xm:f>_xlfn.ANCHORARRAY(Picklist!$AV$2)</xm:f>
          </x14:formula1>
          <xm:sqref>D31</xm:sqref>
        </x14:dataValidation>
        <x14:dataValidation type="list" allowBlank="1" showInputMessage="1" showErrorMessage="1" xr:uid="{9E168B4A-9B2F-422A-9E67-56146F10CFD2}">
          <x14:formula1>
            <xm:f>_xlfn.ANCHORARRAY(Picklist!$AW$2)</xm:f>
          </x14:formula1>
          <xm:sqref>D32</xm:sqref>
        </x14:dataValidation>
        <x14:dataValidation type="list" allowBlank="1" showInputMessage="1" showErrorMessage="1" xr:uid="{4998F5EC-F73E-4DD4-AA83-0D211E3FBEA8}">
          <x14:formula1>
            <xm:f>_xlfn.ANCHORARRAY(Picklist!$AX$2)</xm:f>
          </x14:formula1>
          <xm:sqref>D33</xm:sqref>
        </x14:dataValidation>
        <x14:dataValidation type="list" allowBlank="1" showInputMessage="1" showErrorMessage="1" xr:uid="{564C0E29-3D91-4093-9846-71C28246CEF1}">
          <x14:formula1>
            <xm:f>_xlfn.ANCHORARRAY(Picklist!$AY$2)</xm:f>
          </x14:formula1>
          <xm:sqref>D34</xm:sqref>
        </x14:dataValidation>
        <x14:dataValidation type="list" allowBlank="1" showInputMessage="1" showErrorMessage="1" xr:uid="{EB5F5352-7746-46DA-B8B9-1D05E8952887}">
          <x14:formula1>
            <xm:f>_xlfn.ANCHORARRAY(Picklist!$AZ$2)</xm:f>
          </x14:formula1>
          <xm:sqref>D35</xm:sqref>
        </x14:dataValidation>
        <x14:dataValidation type="list" allowBlank="1" showInputMessage="1" showErrorMessage="1" xr:uid="{E6EDB40A-D558-46E3-B21F-2D1B9AD57798}">
          <x14:formula1>
            <xm:f>_xlfn.ANCHORARRAY(Picklist!$BA$2)</xm:f>
          </x14:formula1>
          <xm:sqref>D36</xm:sqref>
        </x14:dataValidation>
        <x14:dataValidation type="list" allowBlank="1" showInputMessage="1" showErrorMessage="1" xr:uid="{4BE5EA7F-7F5E-4769-A2A8-8BCF1E0D85CB}">
          <x14:formula1>
            <xm:f>_xlfn.ANCHORARRAY(Picklist!$BB$2)</xm:f>
          </x14:formula1>
          <xm:sqref>D37</xm:sqref>
        </x14:dataValidation>
        <x14:dataValidation type="list" allowBlank="1" showInputMessage="1" showErrorMessage="1" xr:uid="{ACD7705B-76BD-44C3-93D6-F9A5E4106FAB}">
          <x14:formula1>
            <xm:f>_xlfn.ANCHORARRAY(Picklist!$BC$2)</xm:f>
          </x14:formula1>
          <xm:sqref>D38</xm:sqref>
        </x14:dataValidation>
        <x14:dataValidation type="list" allowBlank="1" showInputMessage="1" showErrorMessage="1" xr:uid="{D8CD1971-32D1-41AD-9D81-CBEA4BAD13B0}">
          <x14:formula1>
            <xm:f>_xlfn.ANCHORARRAY(Picklist!$BD$2)</xm:f>
          </x14:formula1>
          <xm:sqref>D39</xm:sqref>
        </x14:dataValidation>
        <x14:dataValidation type="list" allowBlank="1" showInputMessage="1" showErrorMessage="1" xr:uid="{AF76874F-D533-4621-BC80-56BF729C6733}">
          <x14:formula1>
            <xm:f>_xlfn.ANCHORARRAY(Picklist!$BE$2)</xm:f>
          </x14:formula1>
          <xm:sqref>D40</xm:sqref>
        </x14:dataValidation>
        <x14:dataValidation type="list" allowBlank="1" showInputMessage="1" showErrorMessage="1" xr:uid="{0B8F65CE-0C38-4A16-AE7E-B348B1FCFD39}">
          <x14:formula1>
            <xm:f>_xlfn.ANCHORARRAY(Picklist!$BF$2)</xm:f>
          </x14:formula1>
          <xm:sqref>D41</xm:sqref>
        </x14:dataValidation>
        <x14:dataValidation type="list" allowBlank="1" showInputMessage="1" showErrorMessage="1" xr:uid="{74F22503-38A8-4E6A-AFCA-AF8D37DE9EFB}">
          <x14:formula1>
            <xm:f>_xlfn.ANCHORARRAY(Picklist!$BG$2)</xm:f>
          </x14:formula1>
          <xm:sqref>D42</xm:sqref>
        </x14:dataValidation>
        <x14:dataValidation type="list" allowBlank="1" showInputMessage="1" showErrorMessage="1" xr:uid="{10DEE1D4-A0D6-4270-8056-B49DA70B4299}">
          <x14:formula1>
            <xm:f>_xlfn.ANCHORARRAY(Picklist!$BH$2)</xm:f>
          </x14:formula1>
          <xm:sqref>D43</xm:sqref>
        </x14:dataValidation>
        <x14:dataValidation type="list" allowBlank="1" showInputMessage="1" showErrorMessage="1" xr:uid="{8738C8E5-9438-49F9-A3B6-094FF33E1055}">
          <x14:formula1>
            <xm:f>Picklist!$E$2:$E$49</xm:f>
          </x14:formula1>
          <xm:sqref>A9:A43</xm:sqref>
        </x14:dataValidation>
        <x14:dataValidation type="list" allowBlank="1" showInputMessage="1" showErrorMessage="1" xr:uid="{805C150E-3E8E-4855-A8C1-99991C546FB7}">
          <x14:formula1>
            <xm:f>Picklist!$F$2:$F$107</xm:f>
          </x14:formula1>
          <xm:sqref>B9:B43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6C9EB-4E35-490A-B0DF-D8B876FFCB5B}">
  <sheetPr codeName="Sheet5"/>
  <dimension ref="A1:BH86"/>
  <sheetViews>
    <sheetView workbookViewId="0">
      <selection activeCell="B5" sqref="B5"/>
    </sheetView>
  </sheetViews>
  <sheetFormatPr defaultRowHeight="15" x14ac:dyDescent="0.25"/>
  <cols>
    <col min="1" max="1" width="19.140625" customWidth="1"/>
    <col min="2" max="2" width="20.5703125" customWidth="1"/>
    <col min="3" max="3" width="14.85546875" customWidth="1"/>
    <col min="4" max="4" width="16.7109375" customWidth="1"/>
    <col min="5" max="5" width="4.42578125" customWidth="1"/>
    <col min="6" max="6" width="27.140625" customWidth="1"/>
    <col min="7" max="7" width="14.140625" style="1" customWidth="1"/>
    <col min="8" max="8" width="11" customWidth="1"/>
    <col min="9" max="9" width="11.28515625" customWidth="1"/>
    <col min="10" max="10" width="13.5703125" customWidth="1"/>
    <col min="11" max="11" width="14.5703125" customWidth="1"/>
    <col min="12" max="12" width="4.7109375" customWidth="1"/>
    <col min="13" max="13" width="25.140625" customWidth="1"/>
    <col min="15" max="15" width="12.42578125" style="49" customWidth="1"/>
    <col min="16" max="16" width="11" customWidth="1"/>
    <col min="17" max="17" width="9.7109375" customWidth="1"/>
    <col min="18" max="18" width="14.140625" customWidth="1"/>
    <col min="19" max="19" width="4.5703125" customWidth="1"/>
    <col min="20" max="20" width="26" customWidth="1"/>
    <col min="21" max="21" width="11.5703125" customWidth="1"/>
    <col min="22" max="57" width="4.28515625" customWidth="1"/>
  </cols>
  <sheetData>
    <row r="1" spans="1:60" ht="14.25" customHeight="1" x14ac:dyDescent="0.25">
      <c r="A1" s="446" t="s">
        <v>146</v>
      </c>
      <c r="B1" s="447"/>
      <c r="C1" s="448"/>
      <c r="D1" s="121"/>
      <c r="E1" s="16"/>
      <c r="F1" s="16"/>
      <c r="G1" s="67"/>
      <c r="H1" s="16"/>
      <c r="I1" s="16"/>
      <c r="J1" s="16"/>
      <c r="K1" s="16"/>
      <c r="L1" s="16"/>
      <c r="M1" s="16"/>
      <c r="N1" s="16"/>
      <c r="O1" s="68"/>
      <c r="P1" s="16"/>
      <c r="Q1" s="16"/>
      <c r="R1" s="16"/>
      <c r="S1" s="16"/>
      <c r="T1" s="83" t="s">
        <v>147</v>
      </c>
      <c r="U1" s="83"/>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row>
    <row r="2" spans="1:60" ht="15.75" thickBot="1" x14ac:dyDescent="0.3">
      <c r="A2" s="449"/>
      <c r="B2" s="450"/>
      <c r="C2" s="451"/>
      <c r="D2" s="121"/>
      <c r="E2" s="16"/>
      <c r="F2" s="455" t="s">
        <v>34</v>
      </c>
      <c r="G2" s="67"/>
      <c r="H2" s="67"/>
      <c r="I2" s="67"/>
      <c r="J2" s="71"/>
      <c r="K2" s="71" t="s">
        <v>148</v>
      </c>
      <c r="L2" s="16"/>
      <c r="M2" s="455" t="s">
        <v>149</v>
      </c>
      <c r="N2" s="16"/>
      <c r="O2" s="68"/>
      <c r="P2" s="16"/>
      <c r="Q2" s="72" t="s">
        <v>148</v>
      </c>
      <c r="R2" s="71" t="s">
        <v>148</v>
      </c>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row>
    <row r="3" spans="1:60" x14ac:dyDescent="0.25">
      <c r="A3" s="452"/>
      <c r="B3" s="453"/>
      <c r="C3" s="454"/>
      <c r="D3" s="121"/>
      <c r="E3" s="16"/>
      <c r="F3" s="456"/>
      <c r="G3" s="67"/>
      <c r="H3" s="67"/>
      <c r="I3" s="67"/>
      <c r="J3" s="71"/>
      <c r="K3" s="71"/>
      <c r="L3" s="16"/>
      <c r="M3" s="456"/>
      <c r="N3" s="16"/>
      <c r="O3" s="68"/>
      <c r="P3" s="16"/>
      <c r="Q3" s="72"/>
      <c r="R3" s="71"/>
      <c r="S3" s="16"/>
      <c r="T3" s="436" t="s">
        <v>150</v>
      </c>
      <c r="U3" s="444" t="s">
        <v>44</v>
      </c>
      <c r="V3" s="369" t="s">
        <v>151</v>
      </c>
      <c r="W3" s="369"/>
      <c r="X3" s="369"/>
      <c r="Y3" s="369"/>
      <c r="Z3" s="369"/>
      <c r="AA3" s="369"/>
      <c r="AB3" s="369"/>
      <c r="AC3" s="369"/>
      <c r="AD3" s="369"/>
      <c r="AE3" s="369"/>
      <c r="AF3" s="369"/>
      <c r="AG3" s="369"/>
      <c r="AH3" s="369"/>
      <c r="AI3" s="369"/>
      <c r="AJ3" s="369"/>
      <c r="AK3" s="369"/>
      <c r="AL3" s="369"/>
      <c r="AM3" s="369"/>
      <c r="AN3" s="369"/>
      <c r="AO3" s="369"/>
      <c r="AP3" s="369"/>
      <c r="AQ3" s="369"/>
      <c r="AR3" s="369"/>
      <c r="AS3" s="369"/>
      <c r="AT3" s="369"/>
      <c r="AU3" s="369"/>
      <c r="AV3" s="369"/>
      <c r="AW3" s="369"/>
      <c r="AX3" s="369"/>
      <c r="AY3" s="369"/>
      <c r="AZ3" s="369"/>
      <c r="BA3" s="369"/>
      <c r="BB3" s="369"/>
      <c r="BC3" s="369"/>
      <c r="BD3" s="369"/>
      <c r="BE3" s="370"/>
      <c r="BF3" s="16"/>
      <c r="BG3" s="16"/>
      <c r="BH3" s="16"/>
    </row>
    <row r="4" spans="1:60" ht="27" customHeight="1" x14ac:dyDescent="0.25">
      <c r="A4" s="346" t="s">
        <v>152</v>
      </c>
      <c r="B4" s="314" t="s">
        <v>153</v>
      </c>
      <c r="C4" s="347" t="s">
        <v>154</v>
      </c>
      <c r="D4" s="121"/>
      <c r="E4" s="16"/>
      <c r="F4" s="75" t="s">
        <v>155</v>
      </c>
      <c r="G4" s="75" t="s">
        <v>44</v>
      </c>
      <c r="H4" s="75" t="s">
        <v>156</v>
      </c>
      <c r="I4" s="75" t="s">
        <v>45</v>
      </c>
      <c r="J4" s="75" t="s">
        <v>157</v>
      </c>
      <c r="K4" s="75" t="s">
        <v>158</v>
      </c>
      <c r="L4" s="16"/>
      <c r="M4" s="75" t="s">
        <v>155</v>
      </c>
      <c r="N4" s="75" t="s">
        <v>44</v>
      </c>
      <c r="O4" s="75" t="s">
        <v>159</v>
      </c>
      <c r="P4" s="75" t="s">
        <v>45</v>
      </c>
      <c r="Q4" s="75" t="s">
        <v>160</v>
      </c>
      <c r="R4" s="75" t="s">
        <v>161</v>
      </c>
      <c r="S4" s="16"/>
      <c r="T4" s="437"/>
      <c r="U4" s="445"/>
      <c r="V4" s="291">
        <v>1</v>
      </c>
      <c r="W4" s="291">
        <v>2</v>
      </c>
      <c r="X4" s="291">
        <v>3</v>
      </c>
      <c r="Y4" s="291">
        <v>4</v>
      </c>
      <c r="Z4" s="291">
        <v>5</v>
      </c>
      <c r="AA4" s="291">
        <v>6</v>
      </c>
      <c r="AB4" s="291">
        <v>7</v>
      </c>
      <c r="AC4" s="291">
        <v>8</v>
      </c>
      <c r="AD4" s="291">
        <v>9</v>
      </c>
      <c r="AE4" s="291">
        <v>10</v>
      </c>
      <c r="AF4" s="291">
        <v>11</v>
      </c>
      <c r="AG4" s="291">
        <v>12</v>
      </c>
      <c r="AH4" s="291">
        <v>13</v>
      </c>
      <c r="AI4" s="291">
        <v>14</v>
      </c>
      <c r="AJ4" s="291">
        <v>15</v>
      </c>
      <c r="AK4" s="291">
        <v>16</v>
      </c>
      <c r="AL4" s="291">
        <v>17</v>
      </c>
      <c r="AM4" s="291">
        <v>18</v>
      </c>
      <c r="AN4" s="291">
        <v>19</v>
      </c>
      <c r="AO4" s="291">
        <v>20</v>
      </c>
      <c r="AP4" s="291">
        <v>21</v>
      </c>
      <c r="AQ4" s="291">
        <v>22</v>
      </c>
      <c r="AR4" s="291">
        <v>23</v>
      </c>
      <c r="AS4" s="291">
        <v>24</v>
      </c>
      <c r="AT4" s="291">
        <v>25</v>
      </c>
      <c r="AU4" s="291">
        <v>26</v>
      </c>
      <c r="AV4" s="291">
        <v>27</v>
      </c>
      <c r="AW4" s="291">
        <v>28</v>
      </c>
      <c r="AX4" s="291">
        <v>29</v>
      </c>
      <c r="AY4" s="291">
        <v>30</v>
      </c>
      <c r="AZ4" s="291">
        <v>31</v>
      </c>
      <c r="BA4" s="291">
        <v>32</v>
      </c>
      <c r="BB4" s="291">
        <v>33</v>
      </c>
      <c r="BC4" s="291">
        <v>34</v>
      </c>
      <c r="BD4" s="291">
        <v>35</v>
      </c>
      <c r="BE4" s="292">
        <v>36</v>
      </c>
      <c r="BF4" s="16"/>
      <c r="BG4" s="16"/>
      <c r="BH4" s="16"/>
    </row>
    <row r="5" spans="1:60" ht="14.65" customHeight="1" thickBot="1" x14ac:dyDescent="0.3">
      <c r="A5" s="325">
        <v>230</v>
      </c>
      <c r="B5" s="326">
        <v>275</v>
      </c>
      <c r="C5" s="327">
        <f>(A5/B5)-1</f>
        <v>-0.16363636363636369</v>
      </c>
      <c r="D5" s="288"/>
      <c r="E5" s="16"/>
      <c r="F5" s="76" t="str">
        <f>'Pricing Details'!B9</f>
        <v>Sr. Change Manager</v>
      </c>
      <c r="G5" s="77" t="str">
        <f>'Pricing Details'!E9</f>
        <v>USA</v>
      </c>
      <c r="H5" s="78">
        <f>'Pricing Details'!AR9</f>
        <v>310</v>
      </c>
      <c r="I5" s="79">
        <f>'Pricing Details'!F9</f>
        <v>275</v>
      </c>
      <c r="J5" s="80">
        <f>'Pricing Details'!AV9</f>
        <v>230</v>
      </c>
      <c r="K5" s="79">
        <f>'Pricing Details'!AU9</f>
        <v>71300</v>
      </c>
      <c r="L5" s="16"/>
      <c r="M5" s="76" t="str">
        <f>'Pricing Details'!B9</f>
        <v>Sr. Change Manager</v>
      </c>
      <c r="N5" s="77" t="str">
        <f>'Pricing Details'!E9</f>
        <v>USA</v>
      </c>
      <c r="O5" s="81">
        <f>'Pricing Details'!G9</f>
        <v>50</v>
      </c>
      <c r="P5" s="79">
        <f>'Pricing Details'!F9</f>
        <v>275</v>
      </c>
      <c r="Q5" s="80">
        <f>'Pricing Details'!AV9</f>
        <v>230</v>
      </c>
      <c r="R5" s="80">
        <f>O5*Q5</f>
        <v>11500</v>
      </c>
      <c r="S5" s="16"/>
      <c r="T5" s="296" t="str">
        <f>'Pricing Details'!B9</f>
        <v>Sr. Change Manager</v>
      </c>
      <c r="U5" s="193" t="str">
        <f>'Pricing Details'!E9</f>
        <v>USA</v>
      </c>
      <c r="V5" s="192">
        <f>'Pricing Details'!G9</f>
        <v>50</v>
      </c>
      <c r="W5" s="192">
        <f>'Pricing Details'!H9</f>
        <v>80</v>
      </c>
      <c r="X5" s="192">
        <f>'Pricing Details'!I9</f>
        <v>90</v>
      </c>
      <c r="Y5" s="192">
        <f>'Pricing Details'!J9</f>
        <v>90</v>
      </c>
      <c r="Z5" s="192">
        <f>'Pricing Details'!K9</f>
        <v>0</v>
      </c>
      <c r="AA5" s="192">
        <f>'Pricing Details'!L9</f>
        <v>0</v>
      </c>
      <c r="AB5" s="192">
        <f>'Pricing Details'!M9</f>
        <v>0</v>
      </c>
      <c r="AC5" s="192">
        <f>'Pricing Details'!N9</f>
        <v>0</v>
      </c>
      <c r="AD5" s="192">
        <f>'Pricing Details'!O9</f>
        <v>0</v>
      </c>
      <c r="AE5" s="192">
        <f>'Pricing Details'!P9</f>
        <v>0</v>
      </c>
      <c r="AF5" s="192">
        <f>'Pricing Details'!Q9</f>
        <v>0</v>
      </c>
      <c r="AG5" s="192">
        <f>'Pricing Details'!R9</f>
        <v>0</v>
      </c>
      <c r="AH5" s="192">
        <f>'Pricing Details'!S9</f>
        <v>0</v>
      </c>
      <c r="AI5" s="192">
        <f>'Pricing Details'!T9</f>
        <v>0</v>
      </c>
      <c r="AJ5" s="192">
        <f>'Pricing Details'!U9</f>
        <v>0</v>
      </c>
      <c r="AK5" s="192">
        <f>'Pricing Details'!V9</f>
        <v>0</v>
      </c>
      <c r="AL5" s="192">
        <f>'Pricing Details'!W9</f>
        <v>0</v>
      </c>
      <c r="AM5" s="192">
        <f>'Pricing Details'!X9</f>
        <v>0</v>
      </c>
      <c r="AN5" s="192">
        <f>'Pricing Details'!Y9</f>
        <v>0</v>
      </c>
      <c r="AO5" s="192">
        <f>'Pricing Details'!Z9</f>
        <v>0</v>
      </c>
      <c r="AP5" s="192">
        <f>'Pricing Details'!AA9</f>
        <v>0</v>
      </c>
      <c r="AQ5" s="192">
        <f>'Pricing Details'!AB9</f>
        <v>0</v>
      </c>
      <c r="AR5" s="192">
        <f>'Pricing Details'!AC9</f>
        <v>0</v>
      </c>
      <c r="AS5" s="192">
        <f>'Pricing Details'!AD9</f>
        <v>0</v>
      </c>
      <c r="AT5" s="192">
        <f>'Pricing Details'!AE9</f>
        <v>0</v>
      </c>
      <c r="AU5" s="192">
        <f>'Pricing Details'!AF9</f>
        <v>0</v>
      </c>
      <c r="AV5" s="192">
        <f>'Pricing Details'!AG9</f>
        <v>0</v>
      </c>
      <c r="AW5" s="192">
        <f>'Pricing Details'!AH9</f>
        <v>0</v>
      </c>
      <c r="AX5" s="192">
        <f>'Pricing Details'!AI9</f>
        <v>0</v>
      </c>
      <c r="AY5" s="192">
        <f>'Pricing Details'!AJ9</f>
        <v>0</v>
      </c>
      <c r="AZ5" s="192">
        <f>'Pricing Details'!AK9</f>
        <v>0</v>
      </c>
      <c r="BA5" s="192">
        <f>'Pricing Details'!AL9</f>
        <v>0</v>
      </c>
      <c r="BB5" s="192">
        <f>'Pricing Details'!AM9</f>
        <v>0</v>
      </c>
      <c r="BC5" s="192">
        <f>'Pricing Details'!AN9</f>
        <v>0</v>
      </c>
      <c r="BD5" s="192">
        <f>'Pricing Details'!AO9</f>
        <v>0</v>
      </c>
      <c r="BE5" s="293">
        <f>'Pricing Details'!AP9</f>
        <v>0</v>
      </c>
      <c r="BF5" s="16"/>
      <c r="BG5" s="16"/>
      <c r="BH5" s="16"/>
    </row>
    <row r="6" spans="1:60" ht="14.65" customHeight="1" x14ac:dyDescent="0.25">
      <c r="A6" s="16"/>
      <c r="B6" s="16"/>
      <c r="C6" s="16"/>
      <c r="D6" s="16"/>
      <c r="E6" s="16"/>
      <c r="F6" s="76">
        <f>'Pricing Details'!B10</f>
        <v>0</v>
      </c>
      <c r="G6" s="77" t="str">
        <f>'Pricing Details'!E10</f>
        <v/>
      </c>
      <c r="H6" s="78">
        <f>'Pricing Details'!AR10</f>
        <v>0</v>
      </c>
      <c r="I6" s="79">
        <f>'Pricing Details'!F10</f>
        <v>0</v>
      </c>
      <c r="J6" s="80">
        <f>'Pricing Details'!AV10</f>
        <v>0</v>
      </c>
      <c r="K6" s="82">
        <f>'Pricing Details'!AU10</f>
        <v>0</v>
      </c>
      <c r="L6" s="16"/>
      <c r="M6" s="76">
        <f>'Pricing Details'!B10</f>
        <v>0</v>
      </c>
      <c r="N6" s="77" t="str">
        <f>'Pricing Details'!E10</f>
        <v/>
      </c>
      <c r="O6" s="81">
        <f>'Pricing Details'!G10</f>
        <v>0</v>
      </c>
      <c r="P6" s="79">
        <f>'Pricing Details'!F10</f>
        <v>0</v>
      </c>
      <c r="Q6" s="80">
        <f>'Pricing Details'!AV10</f>
        <v>0</v>
      </c>
      <c r="R6" s="80">
        <f t="shared" ref="R6:R18" si="0">O6*Q6</f>
        <v>0</v>
      </c>
      <c r="S6" s="16"/>
      <c r="T6" s="296">
        <f>'Pricing Details'!B10</f>
        <v>0</v>
      </c>
      <c r="U6" s="193" t="str">
        <f>'Pricing Details'!E10</f>
        <v/>
      </c>
      <c r="V6" s="192">
        <f>'Pricing Details'!G10</f>
        <v>0</v>
      </c>
      <c r="W6" s="192">
        <f>'Pricing Details'!H10</f>
        <v>0</v>
      </c>
      <c r="X6" s="192">
        <f>'Pricing Details'!I10</f>
        <v>0</v>
      </c>
      <c r="Y6" s="192">
        <f>'Pricing Details'!J10</f>
        <v>0</v>
      </c>
      <c r="Z6" s="192">
        <f>'Pricing Details'!K10</f>
        <v>0</v>
      </c>
      <c r="AA6" s="192">
        <f>'Pricing Details'!L10</f>
        <v>0</v>
      </c>
      <c r="AB6" s="192">
        <f>'Pricing Details'!M10</f>
        <v>0</v>
      </c>
      <c r="AC6" s="192">
        <f>'Pricing Details'!N10</f>
        <v>0</v>
      </c>
      <c r="AD6" s="192">
        <f>'Pricing Details'!O10</f>
        <v>0</v>
      </c>
      <c r="AE6" s="192">
        <f>'Pricing Details'!P10</f>
        <v>0</v>
      </c>
      <c r="AF6" s="192">
        <f>'Pricing Details'!Q10</f>
        <v>0</v>
      </c>
      <c r="AG6" s="192">
        <f>'Pricing Details'!R10</f>
        <v>0</v>
      </c>
      <c r="AH6" s="192">
        <f>'Pricing Details'!S10</f>
        <v>0</v>
      </c>
      <c r="AI6" s="192">
        <f>'Pricing Details'!T10</f>
        <v>0</v>
      </c>
      <c r="AJ6" s="192">
        <f>'Pricing Details'!U10</f>
        <v>0</v>
      </c>
      <c r="AK6" s="192">
        <f>'Pricing Details'!V10</f>
        <v>0</v>
      </c>
      <c r="AL6" s="192">
        <f>'Pricing Details'!W10</f>
        <v>0</v>
      </c>
      <c r="AM6" s="192">
        <f>'Pricing Details'!X10</f>
        <v>0</v>
      </c>
      <c r="AN6" s="192">
        <f>'Pricing Details'!Y10</f>
        <v>0</v>
      </c>
      <c r="AO6" s="192">
        <f>'Pricing Details'!Z10</f>
        <v>0</v>
      </c>
      <c r="AP6" s="192">
        <f>'Pricing Details'!AA10</f>
        <v>0</v>
      </c>
      <c r="AQ6" s="192">
        <f>'Pricing Details'!AB10</f>
        <v>0</v>
      </c>
      <c r="AR6" s="192">
        <f>'Pricing Details'!AC10</f>
        <v>0</v>
      </c>
      <c r="AS6" s="192">
        <f>'Pricing Details'!AD10</f>
        <v>0</v>
      </c>
      <c r="AT6" s="192">
        <f>'Pricing Details'!AE10</f>
        <v>0</v>
      </c>
      <c r="AU6" s="192">
        <f>'Pricing Details'!AF10</f>
        <v>0</v>
      </c>
      <c r="AV6" s="192">
        <f>'Pricing Details'!AG10</f>
        <v>0</v>
      </c>
      <c r="AW6" s="192">
        <f>'Pricing Details'!AH10</f>
        <v>0</v>
      </c>
      <c r="AX6" s="192">
        <f>'Pricing Details'!AI10</f>
        <v>0</v>
      </c>
      <c r="AY6" s="192">
        <f>'Pricing Details'!AJ10</f>
        <v>0</v>
      </c>
      <c r="AZ6" s="192">
        <f>'Pricing Details'!AK10</f>
        <v>0</v>
      </c>
      <c r="BA6" s="192">
        <f>'Pricing Details'!AL10</f>
        <v>0</v>
      </c>
      <c r="BB6" s="192">
        <f>'Pricing Details'!AM10</f>
        <v>0</v>
      </c>
      <c r="BC6" s="192">
        <f>'Pricing Details'!AN10</f>
        <v>0</v>
      </c>
      <c r="BD6" s="192">
        <f>'Pricing Details'!AO10</f>
        <v>0</v>
      </c>
      <c r="BE6" s="293">
        <f>'Pricing Details'!AP10</f>
        <v>0</v>
      </c>
      <c r="BF6" s="16"/>
      <c r="BG6" s="16"/>
      <c r="BH6" s="16"/>
    </row>
    <row r="7" spans="1:60" ht="14.65" customHeight="1" thickBot="1" x14ac:dyDescent="0.3">
      <c r="A7" s="83" t="s">
        <v>162</v>
      </c>
      <c r="B7" s="83"/>
      <c r="C7" s="83"/>
      <c r="D7" s="83"/>
      <c r="E7" s="16"/>
      <c r="F7" s="76">
        <f>'Pricing Details'!B11</f>
        <v>0</v>
      </c>
      <c r="G7" s="77" t="str">
        <f>'Pricing Details'!E11</f>
        <v/>
      </c>
      <c r="H7" s="78">
        <f>'Pricing Details'!AR11</f>
        <v>0</v>
      </c>
      <c r="I7" s="79">
        <f>'Pricing Details'!F11</f>
        <v>0</v>
      </c>
      <c r="J7" s="80">
        <f>'Pricing Details'!AV11</f>
        <v>0</v>
      </c>
      <c r="K7" s="82">
        <f>'Pricing Details'!AU11</f>
        <v>0</v>
      </c>
      <c r="L7" s="16"/>
      <c r="M7" s="76">
        <f>'Pricing Details'!B11</f>
        <v>0</v>
      </c>
      <c r="N7" s="77" t="str">
        <f>'Pricing Details'!E11</f>
        <v/>
      </c>
      <c r="O7" s="81">
        <f>'Pricing Details'!G11</f>
        <v>0</v>
      </c>
      <c r="P7" s="79">
        <f>'Pricing Details'!F11</f>
        <v>0</v>
      </c>
      <c r="Q7" s="80">
        <f>'Pricing Details'!AV11</f>
        <v>0</v>
      </c>
      <c r="R7" s="80">
        <f t="shared" si="0"/>
        <v>0</v>
      </c>
      <c r="S7" s="16"/>
      <c r="T7" s="296">
        <f>'Pricing Details'!B11</f>
        <v>0</v>
      </c>
      <c r="U7" s="193" t="str">
        <f>'Pricing Details'!E11</f>
        <v/>
      </c>
      <c r="V7" s="192">
        <f>'Pricing Details'!G11</f>
        <v>0</v>
      </c>
      <c r="W7" s="192">
        <f>'Pricing Details'!H11</f>
        <v>0</v>
      </c>
      <c r="X7" s="192">
        <f>'Pricing Details'!I11</f>
        <v>0</v>
      </c>
      <c r="Y7" s="192">
        <f>'Pricing Details'!J11</f>
        <v>0</v>
      </c>
      <c r="Z7" s="192">
        <f>'Pricing Details'!K11</f>
        <v>0</v>
      </c>
      <c r="AA7" s="192">
        <f>'Pricing Details'!L11</f>
        <v>0</v>
      </c>
      <c r="AB7" s="192">
        <f>'Pricing Details'!M11</f>
        <v>0</v>
      </c>
      <c r="AC7" s="192">
        <f>'Pricing Details'!N11</f>
        <v>0</v>
      </c>
      <c r="AD7" s="192">
        <f>'Pricing Details'!O11</f>
        <v>0</v>
      </c>
      <c r="AE7" s="192">
        <f>'Pricing Details'!P11</f>
        <v>0</v>
      </c>
      <c r="AF7" s="192">
        <f>'Pricing Details'!Q11</f>
        <v>0</v>
      </c>
      <c r="AG7" s="192">
        <f>'Pricing Details'!R11</f>
        <v>0</v>
      </c>
      <c r="AH7" s="192">
        <f>'Pricing Details'!S11</f>
        <v>0</v>
      </c>
      <c r="AI7" s="192">
        <f>'Pricing Details'!T11</f>
        <v>0</v>
      </c>
      <c r="AJ7" s="192">
        <f>'Pricing Details'!U11</f>
        <v>0</v>
      </c>
      <c r="AK7" s="192">
        <f>'Pricing Details'!V11</f>
        <v>0</v>
      </c>
      <c r="AL7" s="192">
        <f>'Pricing Details'!W11</f>
        <v>0</v>
      </c>
      <c r="AM7" s="192">
        <f>'Pricing Details'!X11</f>
        <v>0</v>
      </c>
      <c r="AN7" s="192">
        <f>'Pricing Details'!Y11</f>
        <v>0</v>
      </c>
      <c r="AO7" s="192">
        <f>'Pricing Details'!Z11</f>
        <v>0</v>
      </c>
      <c r="AP7" s="192">
        <f>'Pricing Details'!AA11</f>
        <v>0</v>
      </c>
      <c r="AQ7" s="192">
        <f>'Pricing Details'!AB11</f>
        <v>0</v>
      </c>
      <c r="AR7" s="192">
        <f>'Pricing Details'!AC11</f>
        <v>0</v>
      </c>
      <c r="AS7" s="192">
        <f>'Pricing Details'!AD11</f>
        <v>0</v>
      </c>
      <c r="AT7" s="192">
        <f>'Pricing Details'!AE11</f>
        <v>0</v>
      </c>
      <c r="AU7" s="192">
        <f>'Pricing Details'!AF11</f>
        <v>0</v>
      </c>
      <c r="AV7" s="192">
        <f>'Pricing Details'!AG11</f>
        <v>0</v>
      </c>
      <c r="AW7" s="192">
        <f>'Pricing Details'!AH11</f>
        <v>0</v>
      </c>
      <c r="AX7" s="192">
        <f>'Pricing Details'!AI11</f>
        <v>0</v>
      </c>
      <c r="AY7" s="192">
        <f>'Pricing Details'!AJ11</f>
        <v>0</v>
      </c>
      <c r="AZ7" s="192">
        <f>'Pricing Details'!AK11</f>
        <v>0</v>
      </c>
      <c r="BA7" s="192">
        <f>'Pricing Details'!AL11</f>
        <v>0</v>
      </c>
      <c r="BB7" s="192">
        <f>'Pricing Details'!AM11</f>
        <v>0</v>
      </c>
      <c r="BC7" s="192">
        <f>'Pricing Details'!AN11</f>
        <v>0</v>
      </c>
      <c r="BD7" s="192">
        <f>'Pricing Details'!AO11</f>
        <v>0</v>
      </c>
      <c r="BE7" s="293">
        <f>'Pricing Details'!AP11</f>
        <v>0</v>
      </c>
      <c r="BF7" s="16"/>
      <c r="BG7" s="16"/>
      <c r="BH7" s="16"/>
    </row>
    <row r="8" spans="1:60" ht="14.65" customHeight="1" x14ac:dyDescent="0.25">
      <c r="A8" s="328" t="s">
        <v>163</v>
      </c>
      <c r="B8" s="329" t="s">
        <v>164</v>
      </c>
      <c r="C8" s="330" t="s">
        <v>165</v>
      </c>
      <c r="D8" s="71"/>
      <c r="E8" s="16"/>
      <c r="F8" s="76">
        <f>'Pricing Details'!B12</f>
        <v>0</v>
      </c>
      <c r="G8" s="77" t="str">
        <f>'Pricing Details'!E12</f>
        <v/>
      </c>
      <c r="H8" s="78">
        <f>'Pricing Details'!AR12</f>
        <v>0</v>
      </c>
      <c r="I8" s="79">
        <f>'Pricing Details'!F12</f>
        <v>0</v>
      </c>
      <c r="J8" s="80">
        <f>'Pricing Details'!AV12</f>
        <v>0</v>
      </c>
      <c r="K8" s="82">
        <f>'Pricing Details'!AU12</f>
        <v>0</v>
      </c>
      <c r="L8" s="16"/>
      <c r="M8" s="76">
        <f>'Pricing Details'!B12</f>
        <v>0</v>
      </c>
      <c r="N8" s="77" t="str">
        <f>'Pricing Details'!E12</f>
        <v/>
      </c>
      <c r="O8" s="81">
        <f>'Pricing Details'!G12</f>
        <v>0</v>
      </c>
      <c r="P8" s="79">
        <f>'Pricing Details'!F12</f>
        <v>0</v>
      </c>
      <c r="Q8" s="80">
        <f>'Pricing Details'!AV12</f>
        <v>0</v>
      </c>
      <c r="R8" s="80">
        <f t="shared" si="0"/>
        <v>0</v>
      </c>
      <c r="S8" s="16"/>
      <c r="T8" s="296">
        <f>'Pricing Details'!B12</f>
        <v>0</v>
      </c>
      <c r="U8" s="193" t="str">
        <f>'Pricing Details'!E12</f>
        <v/>
      </c>
      <c r="V8" s="192">
        <f>'Pricing Details'!G12</f>
        <v>0</v>
      </c>
      <c r="W8" s="192">
        <f>'Pricing Details'!H12</f>
        <v>0</v>
      </c>
      <c r="X8" s="192">
        <f>'Pricing Details'!I12</f>
        <v>0</v>
      </c>
      <c r="Y8" s="192">
        <f>'Pricing Details'!J12</f>
        <v>0</v>
      </c>
      <c r="Z8" s="192">
        <f>'Pricing Details'!K12</f>
        <v>0</v>
      </c>
      <c r="AA8" s="192">
        <f>'Pricing Details'!L12</f>
        <v>0</v>
      </c>
      <c r="AB8" s="192">
        <f>'Pricing Details'!M12</f>
        <v>0</v>
      </c>
      <c r="AC8" s="192">
        <f>'Pricing Details'!N12</f>
        <v>0</v>
      </c>
      <c r="AD8" s="192">
        <f>'Pricing Details'!O12</f>
        <v>0</v>
      </c>
      <c r="AE8" s="192">
        <f>'Pricing Details'!P12</f>
        <v>0</v>
      </c>
      <c r="AF8" s="192">
        <f>'Pricing Details'!Q12</f>
        <v>0</v>
      </c>
      <c r="AG8" s="192">
        <f>'Pricing Details'!R12</f>
        <v>0</v>
      </c>
      <c r="AH8" s="192">
        <f>'Pricing Details'!S12</f>
        <v>0</v>
      </c>
      <c r="AI8" s="192">
        <f>'Pricing Details'!T12</f>
        <v>0</v>
      </c>
      <c r="AJ8" s="192">
        <f>'Pricing Details'!U12</f>
        <v>0</v>
      </c>
      <c r="AK8" s="192">
        <f>'Pricing Details'!V12</f>
        <v>0</v>
      </c>
      <c r="AL8" s="192">
        <f>'Pricing Details'!W12</f>
        <v>0</v>
      </c>
      <c r="AM8" s="192">
        <f>'Pricing Details'!X12</f>
        <v>0</v>
      </c>
      <c r="AN8" s="192">
        <f>'Pricing Details'!Y12</f>
        <v>0</v>
      </c>
      <c r="AO8" s="192">
        <f>'Pricing Details'!Z12</f>
        <v>0</v>
      </c>
      <c r="AP8" s="192">
        <f>'Pricing Details'!AA12</f>
        <v>0</v>
      </c>
      <c r="AQ8" s="192">
        <f>'Pricing Details'!AB12</f>
        <v>0</v>
      </c>
      <c r="AR8" s="192">
        <f>'Pricing Details'!AC12</f>
        <v>0</v>
      </c>
      <c r="AS8" s="192">
        <f>'Pricing Details'!AD12</f>
        <v>0</v>
      </c>
      <c r="AT8" s="192">
        <f>'Pricing Details'!AE12</f>
        <v>0</v>
      </c>
      <c r="AU8" s="192">
        <f>'Pricing Details'!AF12</f>
        <v>0</v>
      </c>
      <c r="AV8" s="192">
        <f>'Pricing Details'!AG12</f>
        <v>0</v>
      </c>
      <c r="AW8" s="192">
        <f>'Pricing Details'!AH12</f>
        <v>0</v>
      </c>
      <c r="AX8" s="192">
        <f>'Pricing Details'!AI12</f>
        <v>0</v>
      </c>
      <c r="AY8" s="192">
        <f>'Pricing Details'!AJ12</f>
        <v>0</v>
      </c>
      <c r="AZ8" s="192">
        <f>'Pricing Details'!AK12</f>
        <v>0</v>
      </c>
      <c r="BA8" s="192">
        <f>'Pricing Details'!AL12</f>
        <v>0</v>
      </c>
      <c r="BB8" s="192">
        <f>'Pricing Details'!AM12</f>
        <v>0</v>
      </c>
      <c r="BC8" s="192">
        <f>'Pricing Details'!AN12</f>
        <v>0</v>
      </c>
      <c r="BD8" s="192">
        <f>'Pricing Details'!AO12</f>
        <v>0</v>
      </c>
      <c r="BE8" s="293">
        <f>'Pricing Details'!AP12</f>
        <v>0</v>
      </c>
      <c r="BF8" s="16"/>
      <c r="BG8" s="16"/>
      <c r="BH8" s="16"/>
    </row>
    <row r="9" spans="1:60" ht="14.65" customHeight="1" thickBot="1" x14ac:dyDescent="0.3">
      <c r="A9" s="331">
        <v>46023</v>
      </c>
      <c r="B9" s="332">
        <v>28</v>
      </c>
      <c r="C9" s="333">
        <f>A9+(B9*7)-3</f>
        <v>46216</v>
      </c>
      <c r="D9" s="308"/>
      <c r="E9" s="16"/>
      <c r="F9" s="76">
        <f>'Pricing Details'!B13</f>
        <v>0</v>
      </c>
      <c r="G9" s="77" t="str">
        <f>'Pricing Details'!E13</f>
        <v/>
      </c>
      <c r="H9" s="78">
        <f>'Pricing Details'!AR13</f>
        <v>0</v>
      </c>
      <c r="I9" s="79">
        <f>'Pricing Details'!F13</f>
        <v>0</v>
      </c>
      <c r="J9" s="80">
        <f>'Pricing Details'!AV13</f>
        <v>0</v>
      </c>
      <c r="K9" s="82">
        <f>'Pricing Details'!AU13</f>
        <v>0</v>
      </c>
      <c r="L9" s="16"/>
      <c r="M9" s="76">
        <f>'Pricing Details'!B13</f>
        <v>0</v>
      </c>
      <c r="N9" s="77" t="str">
        <f>'Pricing Details'!E13</f>
        <v/>
      </c>
      <c r="O9" s="81">
        <f>'Pricing Details'!G13</f>
        <v>0</v>
      </c>
      <c r="P9" s="79">
        <f>'Pricing Details'!F13</f>
        <v>0</v>
      </c>
      <c r="Q9" s="80">
        <f>'Pricing Details'!AV13</f>
        <v>0</v>
      </c>
      <c r="R9" s="80">
        <f t="shared" si="0"/>
        <v>0</v>
      </c>
      <c r="S9" s="16"/>
      <c r="T9" s="296">
        <f>'Pricing Details'!B13</f>
        <v>0</v>
      </c>
      <c r="U9" s="193" t="str">
        <f>'Pricing Details'!E13</f>
        <v/>
      </c>
      <c r="V9" s="192">
        <f>'Pricing Details'!G13</f>
        <v>0</v>
      </c>
      <c r="W9" s="192">
        <f>'Pricing Details'!H13</f>
        <v>0</v>
      </c>
      <c r="X9" s="192">
        <f>'Pricing Details'!I13</f>
        <v>0</v>
      </c>
      <c r="Y9" s="192">
        <f>'Pricing Details'!J13</f>
        <v>0</v>
      </c>
      <c r="Z9" s="192">
        <f>'Pricing Details'!K13</f>
        <v>0</v>
      </c>
      <c r="AA9" s="192">
        <f>'Pricing Details'!L13</f>
        <v>0</v>
      </c>
      <c r="AB9" s="192">
        <f>'Pricing Details'!M13</f>
        <v>0</v>
      </c>
      <c r="AC9" s="192">
        <f>'Pricing Details'!N13</f>
        <v>0</v>
      </c>
      <c r="AD9" s="192">
        <f>'Pricing Details'!O13</f>
        <v>0</v>
      </c>
      <c r="AE9" s="192">
        <f>'Pricing Details'!P13</f>
        <v>0</v>
      </c>
      <c r="AF9" s="192">
        <f>'Pricing Details'!Q13</f>
        <v>0</v>
      </c>
      <c r="AG9" s="192">
        <f>'Pricing Details'!R13</f>
        <v>0</v>
      </c>
      <c r="AH9" s="192">
        <f>'Pricing Details'!S13</f>
        <v>0</v>
      </c>
      <c r="AI9" s="192">
        <f>'Pricing Details'!T13</f>
        <v>0</v>
      </c>
      <c r="AJ9" s="192">
        <f>'Pricing Details'!U13</f>
        <v>0</v>
      </c>
      <c r="AK9" s="192">
        <f>'Pricing Details'!V13</f>
        <v>0</v>
      </c>
      <c r="AL9" s="192">
        <f>'Pricing Details'!W13</f>
        <v>0</v>
      </c>
      <c r="AM9" s="192">
        <f>'Pricing Details'!X13</f>
        <v>0</v>
      </c>
      <c r="AN9" s="192">
        <f>'Pricing Details'!Y13</f>
        <v>0</v>
      </c>
      <c r="AO9" s="192">
        <f>'Pricing Details'!Z13</f>
        <v>0</v>
      </c>
      <c r="AP9" s="192">
        <f>'Pricing Details'!AA13</f>
        <v>0</v>
      </c>
      <c r="AQ9" s="192">
        <f>'Pricing Details'!AB13</f>
        <v>0</v>
      </c>
      <c r="AR9" s="192">
        <f>'Pricing Details'!AC13</f>
        <v>0</v>
      </c>
      <c r="AS9" s="192">
        <f>'Pricing Details'!AD13</f>
        <v>0</v>
      </c>
      <c r="AT9" s="192">
        <f>'Pricing Details'!AE13</f>
        <v>0</v>
      </c>
      <c r="AU9" s="192">
        <f>'Pricing Details'!AF13</f>
        <v>0</v>
      </c>
      <c r="AV9" s="192">
        <f>'Pricing Details'!AG13</f>
        <v>0</v>
      </c>
      <c r="AW9" s="192">
        <f>'Pricing Details'!AH13</f>
        <v>0</v>
      </c>
      <c r="AX9" s="192">
        <f>'Pricing Details'!AI13</f>
        <v>0</v>
      </c>
      <c r="AY9" s="192">
        <f>'Pricing Details'!AJ13</f>
        <v>0</v>
      </c>
      <c r="AZ9" s="192">
        <f>'Pricing Details'!AK13</f>
        <v>0</v>
      </c>
      <c r="BA9" s="192">
        <f>'Pricing Details'!AL13</f>
        <v>0</v>
      </c>
      <c r="BB9" s="192">
        <f>'Pricing Details'!AM13</f>
        <v>0</v>
      </c>
      <c r="BC9" s="192">
        <f>'Pricing Details'!AN13</f>
        <v>0</v>
      </c>
      <c r="BD9" s="192">
        <f>'Pricing Details'!AO13</f>
        <v>0</v>
      </c>
      <c r="BE9" s="293">
        <f>'Pricing Details'!AP13</f>
        <v>0</v>
      </c>
      <c r="BF9" s="16"/>
      <c r="BG9" s="16"/>
      <c r="BH9" s="16"/>
    </row>
    <row r="10" spans="1:60" ht="14.65" customHeight="1" x14ac:dyDescent="0.25">
      <c r="A10" s="16"/>
      <c r="B10" s="16"/>
      <c r="C10" s="16"/>
      <c r="D10" s="16"/>
      <c r="E10" s="16"/>
      <c r="F10" s="76">
        <f>'Pricing Details'!B14</f>
        <v>0</v>
      </c>
      <c r="G10" s="77" t="str">
        <f>'Pricing Details'!E14</f>
        <v/>
      </c>
      <c r="H10" s="78">
        <f>'Pricing Details'!AR14</f>
        <v>0</v>
      </c>
      <c r="I10" s="79">
        <f>'Pricing Details'!F14</f>
        <v>0</v>
      </c>
      <c r="J10" s="80">
        <f>'Pricing Details'!AV14</f>
        <v>0</v>
      </c>
      <c r="K10" s="82">
        <f>'Pricing Details'!AU14</f>
        <v>0</v>
      </c>
      <c r="L10" s="16"/>
      <c r="M10" s="76">
        <f>'Pricing Details'!B14</f>
        <v>0</v>
      </c>
      <c r="N10" s="77" t="str">
        <f>'Pricing Details'!E14</f>
        <v/>
      </c>
      <c r="O10" s="81">
        <f>'Pricing Details'!G14</f>
        <v>0</v>
      </c>
      <c r="P10" s="79">
        <f>'Pricing Details'!F14</f>
        <v>0</v>
      </c>
      <c r="Q10" s="80">
        <f>'Pricing Details'!AV14</f>
        <v>0</v>
      </c>
      <c r="R10" s="80">
        <f t="shared" si="0"/>
        <v>0</v>
      </c>
      <c r="S10" s="16"/>
      <c r="T10" s="296">
        <f>'Pricing Details'!B14</f>
        <v>0</v>
      </c>
      <c r="U10" s="193" t="str">
        <f>'Pricing Details'!E14</f>
        <v/>
      </c>
      <c r="V10" s="192">
        <f>'Pricing Details'!G14</f>
        <v>0</v>
      </c>
      <c r="W10" s="192">
        <f>'Pricing Details'!H14</f>
        <v>0</v>
      </c>
      <c r="X10" s="192">
        <f>'Pricing Details'!I14</f>
        <v>0</v>
      </c>
      <c r="Y10" s="192">
        <f>'Pricing Details'!J14</f>
        <v>0</v>
      </c>
      <c r="Z10" s="192">
        <f>'Pricing Details'!K14</f>
        <v>0</v>
      </c>
      <c r="AA10" s="192">
        <f>'Pricing Details'!L14</f>
        <v>0</v>
      </c>
      <c r="AB10" s="192">
        <f>'Pricing Details'!M14</f>
        <v>0</v>
      </c>
      <c r="AC10" s="192">
        <f>'Pricing Details'!N14</f>
        <v>0</v>
      </c>
      <c r="AD10" s="192">
        <f>'Pricing Details'!O14</f>
        <v>0</v>
      </c>
      <c r="AE10" s="192">
        <f>'Pricing Details'!P14</f>
        <v>0</v>
      </c>
      <c r="AF10" s="192">
        <f>'Pricing Details'!Q14</f>
        <v>0</v>
      </c>
      <c r="AG10" s="192">
        <f>'Pricing Details'!R14</f>
        <v>0</v>
      </c>
      <c r="AH10" s="192">
        <f>'Pricing Details'!S14</f>
        <v>0</v>
      </c>
      <c r="AI10" s="192">
        <f>'Pricing Details'!T14</f>
        <v>0</v>
      </c>
      <c r="AJ10" s="192">
        <f>'Pricing Details'!U14</f>
        <v>0</v>
      </c>
      <c r="AK10" s="192">
        <f>'Pricing Details'!V14</f>
        <v>0</v>
      </c>
      <c r="AL10" s="192">
        <f>'Pricing Details'!W14</f>
        <v>0</v>
      </c>
      <c r="AM10" s="192">
        <f>'Pricing Details'!X14</f>
        <v>0</v>
      </c>
      <c r="AN10" s="192">
        <f>'Pricing Details'!Y14</f>
        <v>0</v>
      </c>
      <c r="AO10" s="192">
        <f>'Pricing Details'!Z14</f>
        <v>0</v>
      </c>
      <c r="AP10" s="192">
        <f>'Pricing Details'!AA14</f>
        <v>0</v>
      </c>
      <c r="AQ10" s="192">
        <f>'Pricing Details'!AB14</f>
        <v>0</v>
      </c>
      <c r="AR10" s="192">
        <f>'Pricing Details'!AC14</f>
        <v>0</v>
      </c>
      <c r="AS10" s="192">
        <f>'Pricing Details'!AD14</f>
        <v>0</v>
      </c>
      <c r="AT10" s="192">
        <f>'Pricing Details'!AE14</f>
        <v>0</v>
      </c>
      <c r="AU10" s="192">
        <f>'Pricing Details'!AF14</f>
        <v>0</v>
      </c>
      <c r="AV10" s="192">
        <f>'Pricing Details'!AG14</f>
        <v>0</v>
      </c>
      <c r="AW10" s="192">
        <f>'Pricing Details'!AH14</f>
        <v>0</v>
      </c>
      <c r="AX10" s="192">
        <f>'Pricing Details'!AI14</f>
        <v>0</v>
      </c>
      <c r="AY10" s="192">
        <f>'Pricing Details'!AJ14</f>
        <v>0</v>
      </c>
      <c r="AZ10" s="192">
        <f>'Pricing Details'!AK14</f>
        <v>0</v>
      </c>
      <c r="BA10" s="192">
        <f>'Pricing Details'!AL14</f>
        <v>0</v>
      </c>
      <c r="BB10" s="192">
        <f>'Pricing Details'!AM14</f>
        <v>0</v>
      </c>
      <c r="BC10" s="192">
        <f>'Pricing Details'!AN14</f>
        <v>0</v>
      </c>
      <c r="BD10" s="192">
        <f>'Pricing Details'!AO14</f>
        <v>0</v>
      </c>
      <c r="BE10" s="293">
        <f>'Pricing Details'!AP14</f>
        <v>0</v>
      </c>
      <c r="BF10" s="16"/>
      <c r="BG10" s="16"/>
      <c r="BH10" s="16"/>
    </row>
    <row r="11" spans="1:60" ht="14.65" customHeight="1" thickBot="1" x14ac:dyDescent="0.3">
      <c r="A11" s="83" t="s">
        <v>166</v>
      </c>
      <c r="B11" s="16"/>
      <c r="C11" s="16"/>
      <c r="D11" s="16"/>
      <c r="E11" s="16"/>
      <c r="F11" s="76">
        <f>'Pricing Details'!B15</f>
        <v>0</v>
      </c>
      <c r="G11" s="77" t="str">
        <f>'Pricing Details'!E15</f>
        <v/>
      </c>
      <c r="H11" s="78">
        <f>'Pricing Details'!AR15</f>
        <v>0</v>
      </c>
      <c r="I11" s="79">
        <f>'Pricing Details'!F15</f>
        <v>0</v>
      </c>
      <c r="J11" s="80">
        <f>'Pricing Details'!AV15</f>
        <v>0</v>
      </c>
      <c r="K11" s="82">
        <f>'Pricing Details'!AU15</f>
        <v>0</v>
      </c>
      <c r="L11" s="16"/>
      <c r="M11" s="76">
        <f>'Pricing Details'!B15</f>
        <v>0</v>
      </c>
      <c r="N11" s="77" t="str">
        <f>'Pricing Details'!E15</f>
        <v/>
      </c>
      <c r="O11" s="81">
        <f>'Pricing Details'!G15</f>
        <v>0</v>
      </c>
      <c r="P11" s="79">
        <f>'Pricing Details'!F15</f>
        <v>0</v>
      </c>
      <c r="Q11" s="80">
        <f>'Pricing Details'!AV15</f>
        <v>0</v>
      </c>
      <c r="R11" s="80">
        <f t="shared" si="0"/>
        <v>0</v>
      </c>
      <c r="S11" s="16"/>
      <c r="T11" s="296">
        <f>'Pricing Details'!B15</f>
        <v>0</v>
      </c>
      <c r="U11" s="193" t="str">
        <f>'Pricing Details'!E15</f>
        <v/>
      </c>
      <c r="V11" s="192">
        <f>'Pricing Details'!G15</f>
        <v>0</v>
      </c>
      <c r="W11" s="192">
        <f>'Pricing Details'!H15</f>
        <v>0</v>
      </c>
      <c r="X11" s="192">
        <f>'Pricing Details'!I15</f>
        <v>0</v>
      </c>
      <c r="Y11" s="192">
        <f>'Pricing Details'!J15</f>
        <v>0</v>
      </c>
      <c r="Z11" s="192">
        <f>'Pricing Details'!K15</f>
        <v>0</v>
      </c>
      <c r="AA11" s="192">
        <f>'Pricing Details'!L15</f>
        <v>0</v>
      </c>
      <c r="AB11" s="192">
        <f>'Pricing Details'!M15</f>
        <v>0</v>
      </c>
      <c r="AC11" s="192">
        <f>'Pricing Details'!N15</f>
        <v>0</v>
      </c>
      <c r="AD11" s="192">
        <f>'Pricing Details'!O15</f>
        <v>0</v>
      </c>
      <c r="AE11" s="192">
        <f>'Pricing Details'!P15</f>
        <v>0</v>
      </c>
      <c r="AF11" s="192">
        <f>'Pricing Details'!Q15</f>
        <v>0</v>
      </c>
      <c r="AG11" s="192">
        <f>'Pricing Details'!R15</f>
        <v>0</v>
      </c>
      <c r="AH11" s="192">
        <f>'Pricing Details'!S15</f>
        <v>0</v>
      </c>
      <c r="AI11" s="192">
        <f>'Pricing Details'!T15</f>
        <v>0</v>
      </c>
      <c r="AJ11" s="192">
        <f>'Pricing Details'!U15</f>
        <v>0</v>
      </c>
      <c r="AK11" s="192">
        <f>'Pricing Details'!V15</f>
        <v>0</v>
      </c>
      <c r="AL11" s="192">
        <f>'Pricing Details'!W15</f>
        <v>0</v>
      </c>
      <c r="AM11" s="192">
        <f>'Pricing Details'!X15</f>
        <v>0</v>
      </c>
      <c r="AN11" s="192">
        <f>'Pricing Details'!Y15</f>
        <v>0</v>
      </c>
      <c r="AO11" s="192">
        <f>'Pricing Details'!Z15</f>
        <v>0</v>
      </c>
      <c r="AP11" s="192">
        <f>'Pricing Details'!AA15</f>
        <v>0</v>
      </c>
      <c r="AQ11" s="192">
        <f>'Pricing Details'!AB15</f>
        <v>0</v>
      </c>
      <c r="AR11" s="192">
        <f>'Pricing Details'!AC15</f>
        <v>0</v>
      </c>
      <c r="AS11" s="192">
        <f>'Pricing Details'!AD15</f>
        <v>0</v>
      </c>
      <c r="AT11" s="192">
        <f>'Pricing Details'!AE15</f>
        <v>0</v>
      </c>
      <c r="AU11" s="192">
        <f>'Pricing Details'!AF15</f>
        <v>0</v>
      </c>
      <c r="AV11" s="192">
        <f>'Pricing Details'!AG15</f>
        <v>0</v>
      </c>
      <c r="AW11" s="192">
        <f>'Pricing Details'!AH15</f>
        <v>0</v>
      </c>
      <c r="AX11" s="192">
        <f>'Pricing Details'!AI15</f>
        <v>0</v>
      </c>
      <c r="AY11" s="192">
        <f>'Pricing Details'!AJ15</f>
        <v>0</v>
      </c>
      <c r="AZ11" s="192">
        <f>'Pricing Details'!AK15</f>
        <v>0</v>
      </c>
      <c r="BA11" s="192">
        <f>'Pricing Details'!AL15</f>
        <v>0</v>
      </c>
      <c r="BB11" s="192">
        <f>'Pricing Details'!AM15</f>
        <v>0</v>
      </c>
      <c r="BC11" s="192">
        <f>'Pricing Details'!AN15</f>
        <v>0</v>
      </c>
      <c r="BD11" s="192">
        <f>'Pricing Details'!AO15</f>
        <v>0</v>
      </c>
      <c r="BE11" s="293">
        <f>'Pricing Details'!AP15</f>
        <v>0</v>
      </c>
      <c r="BF11" s="16"/>
      <c r="BG11" s="16"/>
      <c r="BH11" s="16"/>
    </row>
    <row r="12" spans="1:60" ht="14.65" customHeight="1" x14ac:dyDescent="0.25">
      <c r="A12" s="328" t="s">
        <v>167</v>
      </c>
      <c r="B12" s="330" t="s">
        <v>168</v>
      </c>
      <c r="C12" s="16"/>
      <c r="D12" s="16"/>
      <c r="E12" s="16"/>
      <c r="F12" s="76">
        <f>'Pricing Details'!B16</f>
        <v>0</v>
      </c>
      <c r="G12" s="77" t="str">
        <f>'Pricing Details'!E16</f>
        <v/>
      </c>
      <c r="H12" s="78">
        <f>'Pricing Details'!AR16</f>
        <v>0</v>
      </c>
      <c r="I12" s="79">
        <f>'Pricing Details'!F16</f>
        <v>0</v>
      </c>
      <c r="J12" s="80">
        <f>'Pricing Details'!AV16</f>
        <v>0</v>
      </c>
      <c r="K12" s="82">
        <f>'Pricing Details'!AU16</f>
        <v>0</v>
      </c>
      <c r="L12" s="16"/>
      <c r="M12" s="76">
        <f>'Pricing Details'!B16</f>
        <v>0</v>
      </c>
      <c r="N12" s="77" t="str">
        <f>'Pricing Details'!E16</f>
        <v/>
      </c>
      <c r="O12" s="81">
        <f>'Pricing Details'!G16</f>
        <v>0</v>
      </c>
      <c r="P12" s="79">
        <f>'Pricing Details'!F16</f>
        <v>0</v>
      </c>
      <c r="Q12" s="80">
        <f>'Pricing Details'!AV16</f>
        <v>0</v>
      </c>
      <c r="R12" s="80">
        <f t="shared" si="0"/>
        <v>0</v>
      </c>
      <c r="S12" s="16"/>
      <c r="T12" s="296">
        <f>'Pricing Details'!B16</f>
        <v>0</v>
      </c>
      <c r="U12" s="193" t="str">
        <f>'Pricing Details'!E16</f>
        <v/>
      </c>
      <c r="V12" s="192">
        <f>'Pricing Details'!G16</f>
        <v>0</v>
      </c>
      <c r="W12" s="192">
        <f>'Pricing Details'!H16</f>
        <v>0</v>
      </c>
      <c r="X12" s="192">
        <f>'Pricing Details'!I16</f>
        <v>0</v>
      </c>
      <c r="Y12" s="192">
        <f>'Pricing Details'!J16</f>
        <v>0</v>
      </c>
      <c r="Z12" s="192">
        <f>'Pricing Details'!K16</f>
        <v>0</v>
      </c>
      <c r="AA12" s="192">
        <f>'Pricing Details'!L16</f>
        <v>0</v>
      </c>
      <c r="AB12" s="192">
        <f>'Pricing Details'!M16</f>
        <v>0</v>
      </c>
      <c r="AC12" s="192">
        <f>'Pricing Details'!N16</f>
        <v>0</v>
      </c>
      <c r="AD12" s="192">
        <f>'Pricing Details'!O16</f>
        <v>0</v>
      </c>
      <c r="AE12" s="192">
        <f>'Pricing Details'!P16</f>
        <v>0</v>
      </c>
      <c r="AF12" s="192">
        <f>'Pricing Details'!Q16</f>
        <v>0</v>
      </c>
      <c r="AG12" s="192">
        <f>'Pricing Details'!R16</f>
        <v>0</v>
      </c>
      <c r="AH12" s="192">
        <f>'Pricing Details'!S16</f>
        <v>0</v>
      </c>
      <c r="AI12" s="192">
        <f>'Pricing Details'!T16</f>
        <v>0</v>
      </c>
      <c r="AJ12" s="192">
        <f>'Pricing Details'!U16</f>
        <v>0</v>
      </c>
      <c r="AK12" s="192">
        <f>'Pricing Details'!V16</f>
        <v>0</v>
      </c>
      <c r="AL12" s="192">
        <f>'Pricing Details'!W16</f>
        <v>0</v>
      </c>
      <c r="AM12" s="192">
        <f>'Pricing Details'!X16</f>
        <v>0</v>
      </c>
      <c r="AN12" s="192">
        <f>'Pricing Details'!Y16</f>
        <v>0</v>
      </c>
      <c r="AO12" s="192">
        <f>'Pricing Details'!Z16</f>
        <v>0</v>
      </c>
      <c r="AP12" s="192">
        <f>'Pricing Details'!AA16</f>
        <v>0</v>
      </c>
      <c r="AQ12" s="192">
        <f>'Pricing Details'!AB16</f>
        <v>0</v>
      </c>
      <c r="AR12" s="192">
        <f>'Pricing Details'!AC16</f>
        <v>0</v>
      </c>
      <c r="AS12" s="192">
        <f>'Pricing Details'!AD16</f>
        <v>0</v>
      </c>
      <c r="AT12" s="192">
        <f>'Pricing Details'!AE16</f>
        <v>0</v>
      </c>
      <c r="AU12" s="192">
        <f>'Pricing Details'!AF16</f>
        <v>0</v>
      </c>
      <c r="AV12" s="192">
        <f>'Pricing Details'!AG16</f>
        <v>0</v>
      </c>
      <c r="AW12" s="192">
        <f>'Pricing Details'!AH16</f>
        <v>0</v>
      </c>
      <c r="AX12" s="192">
        <f>'Pricing Details'!AI16</f>
        <v>0</v>
      </c>
      <c r="AY12" s="192">
        <f>'Pricing Details'!AJ16</f>
        <v>0</v>
      </c>
      <c r="AZ12" s="192">
        <f>'Pricing Details'!AK16</f>
        <v>0</v>
      </c>
      <c r="BA12" s="192">
        <f>'Pricing Details'!AL16</f>
        <v>0</v>
      </c>
      <c r="BB12" s="192">
        <f>'Pricing Details'!AM16</f>
        <v>0</v>
      </c>
      <c r="BC12" s="192">
        <f>'Pricing Details'!AN16</f>
        <v>0</v>
      </c>
      <c r="BD12" s="192">
        <f>'Pricing Details'!AO16</f>
        <v>0</v>
      </c>
      <c r="BE12" s="293">
        <f>'Pricing Details'!AP16</f>
        <v>0</v>
      </c>
      <c r="BF12" s="16"/>
      <c r="BG12" s="16"/>
      <c r="BH12" s="16"/>
    </row>
    <row r="13" spans="1:60" ht="14.65" customHeight="1" x14ac:dyDescent="0.25">
      <c r="A13" s="334">
        <v>5</v>
      </c>
      <c r="B13" s="335">
        <f>A13*8</f>
        <v>40</v>
      </c>
      <c r="C13" s="16"/>
      <c r="D13" s="16"/>
      <c r="E13" s="16"/>
      <c r="F13" s="76">
        <f>'Pricing Details'!B17</f>
        <v>0</v>
      </c>
      <c r="G13" s="77" t="str">
        <f>'Pricing Details'!E17</f>
        <v/>
      </c>
      <c r="H13" s="78">
        <f>'Pricing Details'!AR17</f>
        <v>0</v>
      </c>
      <c r="I13" s="79">
        <f>'Pricing Details'!F17</f>
        <v>0</v>
      </c>
      <c r="J13" s="80">
        <f>'Pricing Details'!AV17</f>
        <v>0</v>
      </c>
      <c r="K13" s="82">
        <f>'Pricing Details'!AU17</f>
        <v>0</v>
      </c>
      <c r="L13" s="16"/>
      <c r="M13" s="76">
        <f>'Pricing Details'!B17</f>
        <v>0</v>
      </c>
      <c r="N13" s="77" t="str">
        <f>'Pricing Details'!E17</f>
        <v/>
      </c>
      <c r="O13" s="81">
        <f>'Pricing Details'!G17</f>
        <v>0</v>
      </c>
      <c r="P13" s="79">
        <f>'Pricing Details'!F17</f>
        <v>0</v>
      </c>
      <c r="Q13" s="80">
        <f>'Pricing Details'!AV17</f>
        <v>0</v>
      </c>
      <c r="R13" s="80">
        <f t="shared" si="0"/>
        <v>0</v>
      </c>
      <c r="S13" s="16"/>
      <c r="T13" s="296">
        <f>'Pricing Details'!B17</f>
        <v>0</v>
      </c>
      <c r="U13" s="193" t="str">
        <f>'Pricing Details'!E17</f>
        <v/>
      </c>
      <c r="V13" s="192">
        <f>'Pricing Details'!G17</f>
        <v>0</v>
      </c>
      <c r="W13" s="192">
        <f>'Pricing Details'!H17</f>
        <v>0</v>
      </c>
      <c r="X13" s="192">
        <f>'Pricing Details'!I17</f>
        <v>0</v>
      </c>
      <c r="Y13" s="192">
        <f>'Pricing Details'!J17</f>
        <v>0</v>
      </c>
      <c r="Z13" s="192">
        <f>'Pricing Details'!K17</f>
        <v>0</v>
      </c>
      <c r="AA13" s="192">
        <f>'Pricing Details'!L17</f>
        <v>0</v>
      </c>
      <c r="AB13" s="192">
        <f>'Pricing Details'!M17</f>
        <v>0</v>
      </c>
      <c r="AC13" s="192">
        <f>'Pricing Details'!N17</f>
        <v>0</v>
      </c>
      <c r="AD13" s="192">
        <f>'Pricing Details'!O17</f>
        <v>0</v>
      </c>
      <c r="AE13" s="192">
        <f>'Pricing Details'!P17</f>
        <v>0</v>
      </c>
      <c r="AF13" s="192">
        <f>'Pricing Details'!Q17</f>
        <v>0</v>
      </c>
      <c r="AG13" s="192">
        <f>'Pricing Details'!R17</f>
        <v>0</v>
      </c>
      <c r="AH13" s="192">
        <f>'Pricing Details'!S17</f>
        <v>0</v>
      </c>
      <c r="AI13" s="192">
        <f>'Pricing Details'!T17</f>
        <v>0</v>
      </c>
      <c r="AJ13" s="192">
        <f>'Pricing Details'!U17</f>
        <v>0</v>
      </c>
      <c r="AK13" s="192">
        <f>'Pricing Details'!V17</f>
        <v>0</v>
      </c>
      <c r="AL13" s="192">
        <f>'Pricing Details'!W17</f>
        <v>0</v>
      </c>
      <c r="AM13" s="192">
        <f>'Pricing Details'!X17</f>
        <v>0</v>
      </c>
      <c r="AN13" s="192">
        <f>'Pricing Details'!Y17</f>
        <v>0</v>
      </c>
      <c r="AO13" s="192">
        <f>'Pricing Details'!Z17</f>
        <v>0</v>
      </c>
      <c r="AP13" s="192">
        <f>'Pricing Details'!AA17</f>
        <v>0</v>
      </c>
      <c r="AQ13" s="192">
        <f>'Pricing Details'!AB17</f>
        <v>0</v>
      </c>
      <c r="AR13" s="192">
        <f>'Pricing Details'!AC17</f>
        <v>0</v>
      </c>
      <c r="AS13" s="192">
        <f>'Pricing Details'!AD17</f>
        <v>0</v>
      </c>
      <c r="AT13" s="192">
        <f>'Pricing Details'!AE17</f>
        <v>0</v>
      </c>
      <c r="AU13" s="192">
        <f>'Pricing Details'!AF17</f>
        <v>0</v>
      </c>
      <c r="AV13" s="192">
        <f>'Pricing Details'!AG17</f>
        <v>0</v>
      </c>
      <c r="AW13" s="192">
        <f>'Pricing Details'!AH17</f>
        <v>0</v>
      </c>
      <c r="AX13" s="192">
        <f>'Pricing Details'!AI17</f>
        <v>0</v>
      </c>
      <c r="AY13" s="192">
        <f>'Pricing Details'!AJ17</f>
        <v>0</v>
      </c>
      <c r="AZ13" s="192">
        <f>'Pricing Details'!AK17</f>
        <v>0</v>
      </c>
      <c r="BA13" s="192">
        <f>'Pricing Details'!AL17</f>
        <v>0</v>
      </c>
      <c r="BB13" s="192">
        <f>'Pricing Details'!AM17</f>
        <v>0</v>
      </c>
      <c r="BC13" s="192">
        <f>'Pricing Details'!AN17</f>
        <v>0</v>
      </c>
      <c r="BD13" s="192">
        <f>'Pricing Details'!AO17</f>
        <v>0</v>
      </c>
      <c r="BE13" s="293">
        <f>'Pricing Details'!AP17</f>
        <v>0</v>
      </c>
      <c r="BF13" s="16"/>
      <c r="BG13" s="16"/>
      <c r="BH13" s="16"/>
    </row>
    <row r="14" spans="1:60" ht="14.65" customHeight="1" thickBot="1" x14ac:dyDescent="0.3">
      <c r="A14" s="336">
        <v>11</v>
      </c>
      <c r="B14" s="337">
        <f>A14*8</f>
        <v>88</v>
      </c>
      <c r="C14" s="16"/>
      <c r="D14" s="16"/>
      <c r="E14" s="16"/>
      <c r="F14" s="76">
        <f>'Pricing Details'!B18</f>
        <v>0</v>
      </c>
      <c r="G14" s="77" t="str">
        <f>'Pricing Details'!E18</f>
        <v/>
      </c>
      <c r="H14" s="78">
        <f>'Pricing Details'!AR18</f>
        <v>0</v>
      </c>
      <c r="I14" s="79">
        <f>'Pricing Details'!F18</f>
        <v>0</v>
      </c>
      <c r="J14" s="80">
        <f>'Pricing Details'!AV18</f>
        <v>0</v>
      </c>
      <c r="K14" s="82">
        <f>'Pricing Details'!AU18</f>
        <v>0</v>
      </c>
      <c r="L14" s="16"/>
      <c r="M14" s="76">
        <f>'Pricing Details'!B18</f>
        <v>0</v>
      </c>
      <c r="N14" s="77" t="str">
        <f>'Pricing Details'!E18</f>
        <v/>
      </c>
      <c r="O14" s="81">
        <f>'Pricing Details'!G18</f>
        <v>0</v>
      </c>
      <c r="P14" s="79">
        <f>'Pricing Details'!F18</f>
        <v>0</v>
      </c>
      <c r="Q14" s="80">
        <f>'Pricing Details'!AV18</f>
        <v>0</v>
      </c>
      <c r="R14" s="80">
        <f t="shared" si="0"/>
        <v>0</v>
      </c>
      <c r="S14" s="16"/>
      <c r="T14" s="296">
        <f>'Pricing Details'!B18</f>
        <v>0</v>
      </c>
      <c r="U14" s="193" t="str">
        <f>'Pricing Details'!E18</f>
        <v/>
      </c>
      <c r="V14" s="192">
        <f>'Pricing Details'!G18</f>
        <v>0</v>
      </c>
      <c r="W14" s="192">
        <f>'Pricing Details'!H18</f>
        <v>0</v>
      </c>
      <c r="X14" s="192">
        <f>'Pricing Details'!I18</f>
        <v>0</v>
      </c>
      <c r="Y14" s="192">
        <f>'Pricing Details'!J18</f>
        <v>0</v>
      </c>
      <c r="Z14" s="192">
        <f>'Pricing Details'!K18</f>
        <v>0</v>
      </c>
      <c r="AA14" s="192">
        <f>'Pricing Details'!L18</f>
        <v>0</v>
      </c>
      <c r="AB14" s="192">
        <f>'Pricing Details'!M18</f>
        <v>0</v>
      </c>
      <c r="AC14" s="192">
        <f>'Pricing Details'!N18</f>
        <v>0</v>
      </c>
      <c r="AD14" s="192">
        <f>'Pricing Details'!O18</f>
        <v>0</v>
      </c>
      <c r="AE14" s="192">
        <f>'Pricing Details'!P18</f>
        <v>0</v>
      </c>
      <c r="AF14" s="192">
        <f>'Pricing Details'!Q18</f>
        <v>0</v>
      </c>
      <c r="AG14" s="192">
        <f>'Pricing Details'!R18</f>
        <v>0</v>
      </c>
      <c r="AH14" s="192">
        <f>'Pricing Details'!S18</f>
        <v>0</v>
      </c>
      <c r="AI14" s="192">
        <f>'Pricing Details'!T18</f>
        <v>0</v>
      </c>
      <c r="AJ14" s="192">
        <f>'Pricing Details'!U18</f>
        <v>0</v>
      </c>
      <c r="AK14" s="192">
        <f>'Pricing Details'!V18</f>
        <v>0</v>
      </c>
      <c r="AL14" s="192">
        <f>'Pricing Details'!W18</f>
        <v>0</v>
      </c>
      <c r="AM14" s="192">
        <f>'Pricing Details'!X18</f>
        <v>0</v>
      </c>
      <c r="AN14" s="192">
        <f>'Pricing Details'!Y18</f>
        <v>0</v>
      </c>
      <c r="AO14" s="192">
        <f>'Pricing Details'!Z18</f>
        <v>0</v>
      </c>
      <c r="AP14" s="192">
        <f>'Pricing Details'!AA18</f>
        <v>0</v>
      </c>
      <c r="AQ14" s="192">
        <f>'Pricing Details'!AB18</f>
        <v>0</v>
      </c>
      <c r="AR14" s="192">
        <f>'Pricing Details'!AC18</f>
        <v>0</v>
      </c>
      <c r="AS14" s="192">
        <f>'Pricing Details'!AD18</f>
        <v>0</v>
      </c>
      <c r="AT14" s="192">
        <f>'Pricing Details'!AE18</f>
        <v>0</v>
      </c>
      <c r="AU14" s="192">
        <f>'Pricing Details'!AF18</f>
        <v>0</v>
      </c>
      <c r="AV14" s="192">
        <f>'Pricing Details'!AG18</f>
        <v>0</v>
      </c>
      <c r="AW14" s="192">
        <f>'Pricing Details'!AH18</f>
        <v>0</v>
      </c>
      <c r="AX14" s="192">
        <f>'Pricing Details'!AI18</f>
        <v>0</v>
      </c>
      <c r="AY14" s="192">
        <f>'Pricing Details'!AJ18</f>
        <v>0</v>
      </c>
      <c r="AZ14" s="192">
        <f>'Pricing Details'!AK18</f>
        <v>0</v>
      </c>
      <c r="BA14" s="192">
        <f>'Pricing Details'!AL18</f>
        <v>0</v>
      </c>
      <c r="BB14" s="192">
        <f>'Pricing Details'!AM18</f>
        <v>0</v>
      </c>
      <c r="BC14" s="192">
        <f>'Pricing Details'!AN18</f>
        <v>0</v>
      </c>
      <c r="BD14" s="192">
        <f>'Pricing Details'!AO18</f>
        <v>0</v>
      </c>
      <c r="BE14" s="293">
        <f>'Pricing Details'!AP18</f>
        <v>0</v>
      </c>
      <c r="BF14" s="16"/>
      <c r="BG14" s="16"/>
      <c r="BH14" s="16"/>
    </row>
    <row r="15" spans="1:60" ht="14.65" customHeight="1" thickBot="1" x14ac:dyDescent="0.3">
      <c r="A15" s="16"/>
      <c r="B15" s="16"/>
      <c r="C15" s="16"/>
      <c r="D15" s="16"/>
      <c r="E15" s="16"/>
      <c r="F15" s="76">
        <f>'Pricing Details'!B19</f>
        <v>0</v>
      </c>
      <c r="G15" s="77" t="str">
        <f>'Pricing Details'!E19</f>
        <v/>
      </c>
      <c r="H15" s="78">
        <f>'Pricing Details'!AR19</f>
        <v>0</v>
      </c>
      <c r="I15" s="79">
        <f>'Pricing Details'!F19</f>
        <v>0</v>
      </c>
      <c r="J15" s="80">
        <f>'Pricing Details'!AV19</f>
        <v>0</v>
      </c>
      <c r="K15" s="82">
        <f>'Pricing Details'!AU19</f>
        <v>0</v>
      </c>
      <c r="L15" s="16"/>
      <c r="M15" s="76">
        <f>'Pricing Details'!B19</f>
        <v>0</v>
      </c>
      <c r="N15" s="77" t="str">
        <f>'Pricing Details'!E19</f>
        <v/>
      </c>
      <c r="O15" s="81">
        <f>'Pricing Details'!G19</f>
        <v>0</v>
      </c>
      <c r="P15" s="79">
        <f>'Pricing Details'!F19</f>
        <v>0</v>
      </c>
      <c r="Q15" s="80">
        <f>'Pricing Details'!AV19</f>
        <v>0</v>
      </c>
      <c r="R15" s="80">
        <f t="shared" si="0"/>
        <v>0</v>
      </c>
      <c r="S15" s="16"/>
      <c r="T15" s="296">
        <f>'Pricing Details'!B19</f>
        <v>0</v>
      </c>
      <c r="U15" s="193" t="str">
        <f>'Pricing Details'!E19</f>
        <v/>
      </c>
      <c r="V15" s="192">
        <f>'Pricing Details'!G19</f>
        <v>0</v>
      </c>
      <c r="W15" s="192">
        <f>'Pricing Details'!H19</f>
        <v>0</v>
      </c>
      <c r="X15" s="192">
        <f>'Pricing Details'!I19</f>
        <v>0</v>
      </c>
      <c r="Y15" s="192">
        <f>'Pricing Details'!J19</f>
        <v>0</v>
      </c>
      <c r="Z15" s="192">
        <f>'Pricing Details'!K19</f>
        <v>0</v>
      </c>
      <c r="AA15" s="192">
        <f>'Pricing Details'!L19</f>
        <v>0</v>
      </c>
      <c r="AB15" s="192">
        <f>'Pricing Details'!M19</f>
        <v>0</v>
      </c>
      <c r="AC15" s="192">
        <f>'Pricing Details'!N19</f>
        <v>0</v>
      </c>
      <c r="AD15" s="192">
        <f>'Pricing Details'!O19</f>
        <v>0</v>
      </c>
      <c r="AE15" s="192">
        <f>'Pricing Details'!P19</f>
        <v>0</v>
      </c>
      <c r="AF15" s="192">
        <f>'Pricing Details'!Q19</f>
        <v>0</v>
      </c>
      <c r="AG15" s="192">
        <f>'Pricing Details'!R19</f>
        <v>0</v>
      </c>
      <c r="AH15" s="192">
        <f>'Pricing Details'!S19</f>
        <v>0</v>
      </c>
      <c r="AI15" s="192">
        <f>'Pricing Details'!T19</f>
        <v>0</v>
      </c>
      <c r="AJ15" s="192">
        <f>'Pricing Details'!U19</f>
        <v>0</v>
      </c>
      <c r="AK15" s="192">
        <f>'Pricing Details'!V19</f>
        <v>0</v>
      </c>
      <c r="AL15" s="192">
        <f>'Pricing Details'!W19</f>
        <v>0</v>
      </c>
      <c r="AM15" s="192">
        <f>'Pricing Details'!X19</f>
        <v>0</v>
      </c>
      <c r="AN15" s="192">
        <f>'Pricing Details'!Y19</f>
        <v>0</v>
      </c>
      <c r="AO15" s="192">
        <f>'Pricing Details'!Z19</f>
        <v>0</v>
      </c>
      <c r="AP15" s="192">
        <f>'Pricing Details'!AA19</f>
        <v>0</v>
      </c>
      <c r="AQ15" s="192">
        <f>'Pricing Details'!AB19</f>
        <v>0</v>
      </c>
      <c r="AR15" s="192">
        <f>'Pricing Details'!AC19</f>
        <v>0</v>
      </c>
      <c r="AS15" s="192">
        <f>'Pricing Details'!AD19</f>
        <v>0</v>
      </c>
      <c r="AT15" s="192">
        <f>'Pricing Details'!AE19</f>
        <v>0</v>
      </c>
      <c r="AU15" s="192">
        <f>'Pricing Details'!AF19</f>
        <v>0</v>
      </c>
      <c r="AV15" s="192">
        <f>'Pricing Details'!AG19</f>
        <v>0</v>
      </c>
      <c r="AW15" s="192">
        <f>'Pricing Details'!AH19</f>
        <v>0</v>
      </c>
      <c r="AX15" s="192">
        <f>'Pricing Details'!AI19</f>
        <v>0</v>
      </c>
      <c r="AY15" s="192">
        <f>'Pricing Details'!AJ19</f>
        <v>0</v>
      </c>
      <c r="AZ15" s="192">
        <f>'Pricing Details'!AK19</f>
        <v>0</v>
      </c>
      <c r="BA15" s="192">
        <f>'Pricing Details'!AL19</f>
        <v>0</v>
      </c>
      <c r="BB15" s="192">
        <f>'Pricing Details'!AM19</f>
        <v>0</v>
      </c>
      <c r="BC15" s="192">
        <f>'Pricing Details'!AN19</f>
        <v>0</v>
      </c>
      <c r="BD15" s="192">
        <f>'Pricing Details'!AO19</f>
        <v>0</v>
      </c>
      <c r="BE15" s="293">
        <f>'Pricing Details'!AP19</f>
        <v>0</v>
      </c>
      <c r="BF15" s="16"/>
      <c r="BG15" s="16"/>
      <c r="BH15" s="16"/>
    </row>
    <row r="16" spans="1:60" ht="38.1" customHeight="1" x14ac:dyDescent="0.25">
      <c r="A16" s="434" t="s">
        <v>169</v>
      </c>
      <c r="B16" s="435"/>
      <c r="C16" s="338" t="s">
        <v>170</v>
      </c>
      <c r="D16" s="339" t="s">
        <v>171</v>
      </c>
      <c r="E16" s="16"/>
      <c r="F16" s="76">
        <f>'Pricing Details'!B20</f>
        <v>0</v>
      </c>
      <c r="G16" s="77" t="str">
        <f>'Pricing Details'!E20</f>
        <v/>
      </c>
      <c r="H16" s="78">
        <f>'Pricing Details'!AR20</f>
        <v>0</v>
      </c>
      <c r="I16" s="79">
        <f>'Pricing Details'!F20</f>
        <v>0</v>
      </c>
      <c r="J16" s="80">
        <f>'Pricing Details'!AV20</f>
        <v>0</v>
      </c>
      <c r="K16" s="82">
        <f>'Pricing Details'!AU20</f>
        <v>0</v>
      </c>
      <c r="L16" s="16"/>
      <c r="M16" s="76">
        <f>'Pricing Details'!B20</f>
        <v>0</v>
      </c>
      <c r="N16" s="77" t="str">
        <f>'Pricing Details'!E20</f>
        <v/>
      </c>
      <c r="O16" s="81">
        <f>'Pricing Details'!G20</f>
        <v>0</v>
      </c>
      <c r="P16" s="79">
        <f>'Pricing Details'!F20</f>
        <v>0</v>
      </c>
      <c r="Q16" s="80">
        <f>'Pricing Details'!AV20</f>
        <v>0</v>
      </c>
      <c r="R16" s="80">
        <f t="shared" si="0"/>
        <v>0</v>
      </c>
      <c r="S16" s="16"/>
      <c r="T16" s="296">
        <f>'Pricing Details'!B20</f>
        <v>0</v>
      </c>
      <c r="U16" s="193" t="str">
        <f>'Pricing Details'!E20</f>
        <v/>
      </c>
      <c r="V16" s="192">
        <f>'Pricing Details'!G20</f>
        <v>0</v>
      </c>
      <c r="W16" s="192">
        <f>'Pricing Details'!H20</f>
        <v>0</v>
      </c>
      <c r="X16" s="192">
        <f>'Pricing Details'!I20</f>
        <v>0</v>
      </c>
      <c r="Y16" s="192">
        <f>'Pricing Details'!J20</f>
        <v>0</v>
      </c>
      <c r="Z16" s="192">
        <f>'Pricing Details'!K20</f>
        <v>0</v>
      </c>
      <c r="AA16" s="192">
        <f>'Pricing Details'!L20</f>
        <v>0</v>
      </c>
      <c r="AB16" s="192">
        <f>'Pricing Details'!M20</f>
        <v>0</v>
      </c>
      <c r="AC16" s="192">
        <f>'Pricing Details'!N20</f>
        <v>0</v>
      </c>
      <c r="AD16" s="192">
        <f>'Pricing Details'!O20</f>
        <v>0</v>
      </c>
      <c r="AE16" s="192">
        <f>'Pricing Details'!P20</f>
        <v>0</v>
      </c>
      <c r="AF16" s="192">
        <f>'Pricing Details'!Q20</f>
        <v>0</v>
      </c>
      <c r="AG16" s="192">
        <f>'Pricing Details'!R20</f>
        <v>0</v>
      </c>
      <c r="AH16" s="192">
        <f>'Pricing Details'!S20</f>
        <v>0</v>
      </c>
      <c r="AI16" s="192">
        <f>'Pricing Details'!T20</f>
        <v>0</v>
      </c>
      <c r="AJ16" s="192">
        <f>'Pricing Details'!U20</f>
        <v>0</v>
      </c>
      <c r="AK16" s="192">
        <f>'Pricing Details'!V20</f>
        <v>0</v>
      </c>
      <c r="AL16" s="192">
        <f>'Pricing Details'!W20</f>
        <v>0</v>
      </c>
      <c r="AM16" s="192">
        <f>'Pricing Details'!X20</f>
        <v>0</v>
      </c>
      <c r="AN16" s="192">
        <f>'Pricing Details'!Y20</f>
        <v>0</v>
      </c>
      <c r="AO16" s="192">
        <f>'Pricing Details'!Z20</f>
        <v>0</v>
      </c>
      <c r="AP16" s="192">
        <f>'Pricing Details'!AA20</f>
        <v>0</v>
      </c>
      <c r="AQ16" s="192">
        <f>'Pricing Details'!AB20</f>
        <v>0</v>
      </c>
      <c r="AR16" s="192">
        <f>'Pricing Details'!AC20</f>
        <v>0</v>
      </c>
      <c r="AS16" s="192">
        <f>'Pricing Details'!AD20</f>
        <v>0</v>
      </c>
      <c r="AT16" s="192">
        <f>'Pricing Details'!AE20</f>
        <v>0</v>
      </c>
      <c r="AU16" s="192">
        <f>'Pricing Details'!AF20</f>
        <v>0</v>
      </c>
      <c r="AV16" s="192">
        <f>'Pricing Details'!AG20</f>
        <v>0</v>
      </c>
      <c r="AW16" s="192">
        <f>'Pricing Details'!AH20</f>
        <v>0</v>
      </c>
      <c r="AX16" s="192">
        <f>'Pricing Details'!AI20</f>
        <v>0</v>
      </c>
      <c r="AY16" s="192">
        <f>'Pricing Details'!AJ20</f>
        <v>0</v>
      </c>
      <c r="AZ16" s="192">
        <f>'Pricing Details'!AK20</f>
        <v>0</v>
      </c>
      <c r="BA16" s="192">
        <f>'Pricing Details'!AL20</f>
        <v>0</v>
      </c>
      <c r="BB16" s="192">
        <f>'Pricing Details'!AM20</f>
        <v>0</v>
      </c>
      <c r="BC16" s="192">
        <f>'Pricing Details'!AN20</f>
        <v>0</v>
      </c>
      <c r="BD16" s="192">
        <f>'Pricing Details'!AO20</f>
        <v>0</v>
      </c>
      <c r="BE16" s="293">
        <f>'Pricing Details'!AP20</f>
        <v>0</v>
      </c>
      <c r="BF16" s="16"/>
      <c r="BG16" s="16"/>
      <c r="BH16" s="16"/>
    </row>
    <row r="17" spans="1:60" ht="14.65" customHeight="1" x14ac:dyDescent="0.25">
      <c r="A17" s="340" t="s">
        <v>172</v>
      </c>
      <c r="B17" s="84" t="s">
        <v>173</v>
      </c>
      <c r="C17" s="84" t="s">
        <v>174</v>
      </c>
      <c r="D17" s="341" t="s">
        <v>175</v>
      </c>
      <c r="E17" s="16"/>
      <c r="F17" s="76">
        <f>'Pricing Details'!B21</f>
        <v>0</v>
      </c>
      <c r="G17" s="77" t="str">
        <f>'Pricing Details'!E21</f>
        <v/>
      </c>
      <c r="H17" s="78">
        <f>'Pricing Details'!AR21</f>
        <v>0</v>
      </c>
      <c r="I17" s="79">
        <f>'Pricing Details'!F21</f>
        <v>0</v>
      </c>
      <c r="J17" s="80">
        <f>'Pricing Details'!AV21</f>
        <v>0</v>
      </c>
      <c r="K17" s="82">
        <f>'Pricing Details'!AU21</f>
        <v>0</v>
      </c>
      <c r="L17" s="16"/>
      <c r="M17" s="76">
        <f>'Pricing Details'!B21</f>
        <v>0</v>
      </c>
      <c r="N17" s="77" t="str">
        <f>'Pricing Details'!E21</f>
        <v/>
      </c>
      <c r="O17" s="81">
        <f>'Pricing Details'!G21</f>
        <v>0</v>
      </c>
      <c r="P17" s="79">
        <f>'Pricing Details'!F21</f>
        <v>0</v>
      </c>
      <c r="Q17" s="80">
        <f>'Pricing Details'!AV21</f>
        <v>0</v>
      </c>
      <c r="R17" s="80">
        <f t="shared" si="0"/>
        <v>0</v>
      </c>
      <c r="S17" s="16"/>
      <c r="T17" s="296">
        <f>'Pricing Details'!B21</f>
        <v>0</v>
      </c>
      <c r="U17" s="193" t="str">
        <f>'Pricing Details'!E21</f>
        <v/>
      </c>
      <c r="V17" s="192">
        <f>'Pricing Details'!G21</f>
        <v>0</v>
      </c>
      <c r="W17" s="192">
        <f>'Pricing Details'!H21</f>
        <v>0</v>
      </c>
      <c r="X17" s="192">
        <f>'Pricing Details'!I21</f>
        <v>0</v>
      </c>
      <c r="Y17" s="192">
        <f>'Pricing Details'!J21</f>
        <v>0</v>
      </c>
      <c r="Z17" s="192">
        <f>'Pricing Details'!K21</f>
        <v>0</v>
      </c>
      <c r="AA17" s="192">
        <f>'Pricing Details'!L21</f>
        <v>0</v>
      </c>
      <c r="AB17" s="192">
        <f>'Pricing Details'!M21</f>
        <v>0</v>
      </c>
      <c r="AC17" s="192">
        <f>'Pricing Details'!N21</f>
        <v>0</v>
      </c>
      <c r="AD17" s="192">
        <f>'Pricing Details'!O21</f>
        <v>0</v>
      </c>
      <c r="AE17" s="192">
        <f>'Pricing Details'!P21</f>
        <v>0</v>
      </c>
      <c r="AF17" s="192">
        <f>'Pricing Details'!Q21</f>
        <v>0</v>
      </c>
      <c r="AG17" s="192">
        <f>'Pricing Details'!R21</f>
        <v>0</v>
      </c>
      <c r="AH17" s="192">
        <f>'Pricing Details'!S21</f>
        <v>0</v>
      </c>
      <c r="AI17" s="192">
        <f>'Pricing Details'!T21</f>
        <v>0</v>
      </c>
      <c r="AJ17" s="192">
        <f>'Pricing Details'!U21</f>
        <v>0</v>
      </c>
      <c r="AK17" s="192">
        <f>'Pricing Details'!V21</f>
        <v>0</v>
      </c>
      <c r="AL17" s="192">
        <f>'Pricing Details'!W21</f>
        <v>0</v>
      </c>
      <c r="AM17" s="192">
        <f>'Pricing Details'!X21</f>
        <v>0</v>
      </c>
      <c r="AN17" s="192">
        <f>'Pricing Details'!Y21</f>
        <v>0</v>
      </c>
      <c r="AO17" s="192">
        <f>'Pricing Details'!Z21</f>
        <v>0</v>
      </c>
      <c r="AP17" s="192">
        <f>'Pricing Details'!AA21</f>
        <v>0</v>
      </c>
      <c r="AQ17" s="192">
        <f>'Pricing Details'!AB21</f>
        <v>0</v>
      </c>
      <c r="AR17" s="192">
        <f>'Pricing Details'!AC21</f>
        <v>0</v>
      </c>
      <c r="AS17" s="192">
        <f>'Pricing Details'!AD21</f>
        <v>0</v>
      </c>
      <c r="AT17" s="192">
        <f>'Pricing Details'!AE21</f>
        <v>0</v>
      </c>
      <c r="AU17" s="192">
        <f>'Pricing Details'!AF21</f>
        <v>0</v>
      </c>
      <c r="AV17" s="192">
        <f>'Pricing Details'!AG21</f>
        <v>0</v>
      </c>
      <c r="AW17" s="192">
        <f>'Pricing Details'!AH21</f>
        <v>0</v>
      </c>
      <c r="AX17" s="192">
        <f>'Pricing Details'!AI21</f>
        <v>0</v>
      </c>
      <c r="AY17" s="192">
        <f>'Pricing Details'!AJ21</f>
        <v>0</v>
      </c>
      <c r="AZ17" s="192">
        <f>'Pricing Details'!AK21</f>
        <v>0</v>
      </c>
      <c r="BA17" s="192">
        <f>'Pricing Details'!AL21</f>
        <v>0</v>
      </c>
      <c r="BB17" s="192">
        <f>'Pricing Details'!AM21</f>
        <v>0</v>
      </c>
      <c r="BC17" s="192">
        <f>'Pricing Details'!AN21</f>
        <v>0</v>
      </c>
      <c r="BD17" s="192">
        <f>'Pricing Details'!AO21</f>
        <v>0</v>
      </c>
      <c r="BE17" s="293">
        <f>'Pricing Details'!AP21</f>
        <v>0</v>
      </c>
      <c r="BF17" s="16"/>
      <c r="BG17" s="16"/>
      <c r="BH17" s="16"/>
    </row>
    <row r="18" spans="1:60" ht="14.65" customHeight="1" x14ac:dyDescent="0.25">
      <c r="A18" s="342" t="s">
        <v>176</v>
      </c>
      <c r="B18" s="258">
        <v>100</v>
      </c>
      <c r="C18" s="290">
        <v>45</v>
      </c>
      <c r="D18" s="359">
        <v>0.35</v>
      </c>
      <c r="E18" s="16"/>
      <c r="F18" s="76">
        <f>'Pricing Details'!B22</f>
        <v>0</v>
      </c>
      <c r="G18" s="77" t="str">
        <f>'Pricing Details'!E22</f>
        <v/>
      </c>
      <c r="H18" s="78">
        <f>'Pricing Details'!AR22</f>
        <v>0</v>
      </c>
      <c r="I18" s="79">
        <f>'Pricing Details'!F22</f>
        <v>0</v>
      </c>
      <c r="J18" s="80">
        <f>'Pricing Details'!AV22</f>
        <v>0</v>
      </c>
      <c r="K18" s="82">
        <f>'Pricing Details'!AU22</f>
        <v>0</v>
      </c>
      <c r="L18" s="16"/>
      <c r="M18" s="76">
        <f>'Pricing Details'!B22</f>
        <v>0</v>
      </c>
      <c r="N18" s="77" t="str">
        <f>'Pricing Details'!E22</f>
        <v/>
      </c>
      <c r="O18" s="81">
        <f>'Pricing Details'!G22</f>
        <v>0</v>
      </c>
      <c r="P18" s="79">
        <f>'Pricing Details'!F22</f>
        <v>0</v>
      </c>
      <c r="Q18" s="80">
        <f>'Pricing Details'!AV22</f>
        <v>0</v>
      </c>
      <c r="R18" s="80">
        <f t="shared" si="0"/>
        <v>0</v>
      </c>
      <c r="S18" s="16"/>
      <c r="T18" s="296">
        <f>'Pricing Details'!B22</f>
        <v>0</v>
      </c>
      <c r="U18" s="193" t="str">
        <f>'Pricing Details'!E22</f>
        <v/>
      </c>
      <c r="V18" s="192">
        <f>'Pricing Details'!G22</f>
        <v>0</v>
      </c>
      <c r="W18" s="192">
        <f>'Pricing Details'!H22</f>
        <v>0</v>
      </c>
      <c r="X18" s="192">
        <f>'Pricing Details'!I22</f>
        <v>0</v>
      </c>
      <c r="Y18" s="192">
        <f>'Pricing Details'!J22</f>
        <v>0</v>
      </c>
      <c r="Z18" s="192">
        <f>'Pricing Details'!K22</f>
        <v>0</v>
      </c>
      <c r="AA18" s="192">
        <f>'Pricing Details'!L22</f>
        <v>0</v>
      </c>
      <c r="AB18" s="192">
        <f>'Pricing Details'!M22</f>
        <v>0</v>
      </c>
      <c r="AC18" s="192">
        <f>'Pricing Details'!N22</f>
        <v>0</v>
      </c>
      <c r="AD18" s="192">
        <f>'Pricing Details'!O22</f>
        <v>0</v>
      </c>
      <c r="AE18" s="192">
        <f>'Pricing Details'!P22</f>
        <v>0</v>
      </c>
      <c r="AF18" s="192">
        <f>'Pricing Details'!Q22</f>
        <v>0</v>
      </c>
      <c r="AG18" s="192">
        <f>'Pricing Details'!R22</f>
        <v>0</v>
      </c>
      <c r="AH18" s="192">
        <f>'Pricing Details'!S22</f>
        <v>0</v>
      </c>
      <c r="AI18" s="192">
        <f>'Pricing Details'!T22</f>
        <v>0</v>
      </c>
      <c r="AJ18" s="192">
        <f>'Pricing Details'!U22</f>
        <v>0</v>
      </c>
      <c r="AK18" s="192">
        <f>'Pricing Details'!V22</f>
        <v>0</v>
      </c>
      <c r="AL18" s="192">
        <f>'Pricing Details'!W22</f>
        <v>0</v>
      </c>
      <c r="AM18" s="192">
        <f>'Pricing Details'!X22</f>
        <v>0</v>
      </c>
      <c r="AN18" s="192">
        <f>'Pricing Details'!Y22</f>
        <v>0</v>
      </c>
      <c r="AO18" s="192">
        <f>'Pricing Details'!Z22</f>
        <v>0</v>
      </c>
      <c r="AP18" s="192">
        <f>'Pricing Details'!AA22</f>
        <v>0</v>
      </c>
      <c r="AQ18" s="192">
        <f>'Pricing Details'!AB22</f>
        <v>0</v>
      </c>
      <c r="AR18" s="192">
        <f>'Pricing Details'!AC22</f>
        <v>0</v>
      </c>
      <c r="AS18" s="192">
        <f>'Pricing Details'!AD22</f>
        <v>0</v>
      </c>
      <c r="AT18" s="192">
        <f>'Pricing Details'!AE22</f>
        <v>0</v>
      </c>
      <c r="AU18" s="192">
        <f>'Pricing Details'!AF22</f>
        <v>0</v>
      </c>
      <c r="AV18" s="192">
        <f>'Pricing Details'!AG22</f>
        <v>0</v>
      </c>
      <c r="AW18" s="192">
        <f>'Pricing Details'!AH22</f>
        <v>0</v>
      </c>
      <c r="AX18" s="192">
        <f>'Pricing Details'!AI22</f>
        <v>0</v>
      </c>
      <c r="AY18" s="192">
        <f>'Pricing Details'!AJ22</f>
        <v>0</v>
      </c>
      <c r="AZ18" s="192">
        <f>'Pricing Details'!AK22</f>
        <v>0</v>
      </c>
      <c r="BA18" s="192">
        <f>'Pricing Details'!AL22</f>
        <v>0</v>
      </c>
      <c r="BB18" s="192">
        <f>'Pricing Details'!AM22</f>
        <v>0</v>
      </c>
      <c r="BC18" s="192">
        <f>'Pricing Details'!AN22</f>
        <v>0</v>
      </c>
      <c r="BD18" s="192">
        <f>'Pricing Details'!AO22</f>
        <v>0</v>
      </c>
      <c r="BE18" s="293">
        <f>'Pricing Details'!AP22</f>
        <v>0</v>
      </c>
      <c r="BF18" s="16"/>
      <c r="BG18" s="16"/>
      <c r="BH18" s="16"/>
    </row>
    <row r="19" spans="1:60" ht="14.65" customHeight="1" x14ac:dyDescent="0.25">
      <c r="A19" s="342" t="s">
        <v>177</v>
      </c>
      <c r="B19" s="258">
        <v>100</v>
      </c>
      <c r="C19" s="290">
        <v>45</v>
      </c>
      <c r="D19" s="359">
        <v>0.35</v>
      </c>
      <c r="E19" s="16"/>
      <c r="F19" s="76">
        <f>'Pricing Details'!B23</f>
        <v>0</v>
      </c>
      <c r="G19" s="77" t="str">
        <f>'Pricing Details'!E23</f>
        <v/>
      </c>
      <c r="H19" s="78">
        <f>'Pricing Details'!AR23</f>
        <v>0</v>
      </c>
      <c r="I19" s="79">
        <f>'Pricing Details'!F23</f>
        <v>0</v>
      </c>
      <c r="J19" s="80">
        <f>'Pricing Details'!AV23</f>
        <v>0</v>
      </c>
      <c r="K19" s="82">
        <f>'Pricing Details'!AU23</f>
        <v>0</v>
      </c>
      <c r="L19" s="16"/>
      <c r="M19" s="76">
        <f>'Pricing Details'!B23</f>
        <v>0</v>
      </c>
      <c r="N19" s="77" t="str">
        <f>'Pricing Details'!E23</f>
        <v/>
      </c>
      <c r="O19" s="81">
        <f>'Pricing Details'!G23</f>
        <v>0</v>
      </c>
      <c r="P19" s="79">
        <f>'Pricing Details'!F23</f>
        <v>0</v>
      </c>
      <c r="Q19" s="80">
        <f>'Pricing Details'!AV23</f>
        <v>0</v>
      </c>
      <c r="R19" s="80">
        <f t="shared" ref="R19:R39" si="1">O19*Q19</f>
        <v>0</v>
      </c>
      <c r="S19" s="16"/>
      <c r="T19" s="296">
        <f>'Pricing Details'!B23</f>
        <v>0</v>
      </c>
      <c r="U19" s="193" t="str">
        <f>'Pricing Details'!E23</f>
        <v/>
      </c>
      <c r="V19" s="192">
        <f>'Pricing Details'!G23</f>
        <v>0</v>
      </c>
      <c r="W19" s="192">
        <f>'Pricing Details'!H23</f>
        <v>0</v>
      </c>
      <c r="X19" s="192">
        <f>'Pricing Details'!I23</f>
        <v>0</v>
      </c>
      <c r="Y19" s="192">
        <f>'Pricing Details'!J23</f>
        <v>0</v>
      </c>
      <c r="Z19" s="192">
        <f>'Pricing Details'!K23</f>
        <v>0</v>
      </c>
      <c r="AA19" s="192">
        <f>'Pricing Details'!L23</f>
        <v>0</v>
      </c>
      <c r="AB19" s="192">
        <f>'Pricing Details'!M23</f>
        <v>0</v>
      </c>
      <c r="AC19" s="192">
        <f>'Pricing Details'!N23</f>
        <v>0</v>
      </c>
      <c r="AD19" s="192">
        <f>'Pricing Details'!O23</f>
        <v>0</v>
      </c>
      <c r="AE19" s="192">
        <f>'Pricing Details'!P23</f>
        <v>0</v>
      </c>
      <c r="AF19" s="192">
        <f>'Pricing Details'!Q23</f>
        <v>0</v>
      </c>
      <c r="AG19" s="192">
        <f>'Pricing Details'!R23</f>
        <v>0</v>
      </c>
      <c r="AH19" s="192">
        <f>'Pricing Details'!S23</f>
        <v>0</v>
      </c>
      <c r="AI19" s="192">
        <f>'Pricing Details'!T23</f>
        <v>0</v>
      </c>
      <c r="AJ19" s="192">
        <f>'Pricing Details'!U23</f>
        <v>0</v>
      </c>
      <c r="AK19" s="192">
        <f>'Pricing Details'!V23</f>
        <v>0</v>
      </c>
      <c r="AL19" s="192">
        <f>'Pricing Details'!W23</f>
        <v>0</v>
      </c>
      <c r="AM19" s="192">
        <f>'Pricing Details'!X23</f>
        <v>0</v>
      </c>
      <c r="AN19" s="192">
        <f>'Pricing Details'!Y23</f>
        <v>0</v>
      </c>
      <c r="AO19" s="192">
        <f>'Pricing Details'!Z23</f>
        <v>0</v>
      </c>
      <c r="AP19" s="192">
        <f>'Pricing Details'!AA23</f>
        <v>0</v>
      </c>
      <c r="AQ19" s="192">
        <f>'Pricing Details'!AB23</f>
        <v>0</v>
      </c>
      <c r="AR19" s="192">
        <f>'Pricing Details'!AC23</f>
        <v>0</v>
      </c>
      <c r="AS19" s="192">
        <f>'Pricing Details'!AD23</f>
        <v>0</v>
      </c>
      <c r="AT19" s="192">
        <f>'Pricing Details'!AE23</f>
        <v>0</v>
      </c>
      <c r="AU19" s="192">
        <f>'Pricing Details'!AF23</f>
        <v>0</v>
      </c>
      <c r="AV19" s="192">
        <f>'Pricing Details'!AG23</f>
        <v>0</v>
      </c>
      <c r="AW19" s="192">
        <f>'Pricing Details'!AH23</f>
        <v>0</v>
      </c>
      <c r="AX19" s="192">
        <f>'Pricing Details'!AI23</f>
        <v>0</v>
      </c>
      <c r="AY19" s="192">
        <f>'Pricing Details'!AJ23</f>
        <v>0</v>
      </c>
      <c r="AZ19" s="192">
        <f>'Pricing Details'!AK23</f>
        <v>0</v>
      </c>
      <c r="BA19" s="192">
        <f>'Pricing Details'!AL23</f>
        <v>0</v>
      </c>
      <c r="BB19" s="192">
        <f>'Pricing Details'!AM23</f>
        <v>0</v>
      </c>
      <c r="BC19" s="192">
        <f>'Pricing Details'!AN23</f>
        <v>0</v>
      </c>
      <c r="BD19" s="192">
        <f>'Pricing Details'!AO23</f>
        <v>0</v>
      </c>
      <c r="BE19" s="293">
        <f>'Pricing Details'!AP23</f>
        <v>0</v>
      </c>
      <c r="BF19" s="16"/>
      <c r="BG19" s="16"/>
      <c r="BH19" s="16"/>
    </row>
    <row r="20" spans="1:60" x14ac:dyDescent="0.25">
      <c r="A20" s="342" t="s">
        <v>178</v>
      </c>
      <c r="B20" s="258">
        <v>100</v>
      </c>
      <c r="C20" s="290">
        <v>45</v>
      </c>
      <c r="D20" s="359">
        <v>0.35</v>
      </c>
      <c r="E20" s="16"/>
      <c r="F20" s="76">
        <f>'Pricing Details'!B24</f>
        <v>0</v>
      </c>
      <c r="G20" s="77" t="str">
        <f>'Pricing Details'!E24</f>
        <v/>
      </c>
      <c r="H20" s="78">
        <f>'Pricing Details'!AR24</f>
        <v>0</v>
      </c>
      <c r="I20" s="79">
        <f>'Pricing Details'!F24</f>
        <v>0</v>
      </c>
      <c r="J20" s="80">
        <f>'Pricing Details'!AV24</f>
        <v>0</v>
      </c>
      <c r="K20" s="82">
        <f>'Pricing Details'!AU24</f>
        <v>0</v>
      </c>
      <c r="L20" s="16"/>
      <c r="M20" s="76">
        <f>'Pricing Details'!B24</f>
        <v>0</v>
      </c>
      <c r="N20" s="77" t="str">
        <f>'Pricing Details'!E24</f>
        <v/>
      </c>
      <c r="O20" s="81">
        <f>'Pricing Details'!G24</f>
        <v>0</v>
      </c>
      <c r="P20" s="79">
        <f>'Pricing Details'!F24</f>
        <v>0</v>
      </c>
      <c r="Q20" s="80">
        <f>'Pricing Details'!AV24</f>
        <v>0</v>
      </c>
      <c r="R20" s="80">
        <f t="shared" si="1"/>
        <v>0</v>
      </c>
      <c r="S20" s="16"/>
      <c r="T20" s="296">
        <f>'Pricing Details'!B24</f>
        <v>0</v>
      </c>
      <c r="U20" s="193" t="str">
        <f>'Pricing Details'!E24</f>
        <v/>
      </c>
      <c r="V20" s="192">
        <f>'Pricing Details'!G24</f>
        <v>0</v>
      </c>
      <c r="W20" s="192">
        <f>'Pricing Details'!H24</f>
        <v>0</v>
      </c>
      <c r="X20" s="192">
        <f>'Pricing Details'!I24</f>
        <v>0</v>
      </c>
      <c r="Y20" s="192">
        <f>'Pricing Details'!J24</f>
        <v>0</v>
      </c>
      <c r="Z20" s="192">
        <f>'Pricing Details'!K24</f>
        <v>0</v>
      </c>
      <c r="AA20" s="192">
        <f>'Pricing Details'!L24</f>
        <v>0</v>
      </c>
      <c r="AB20" s="192">
        <f>'Pricing Details'!M24</f>
        <v>0</v>
      </c>
      <c r="AC20" s="192">
        <f>'Pricing Details'!N24</f>
        <v>0</v>
      </c>
      <c r="AD20" s="192">
        <f>'Pricing Details'!O24</f>
        <v>0</v>
      </c>
      <c r="AE20" s="192">
        <f>'Pricing Details'!P24</f>
        <v>0</v>
      </c>
      <c r="AF20" s="192">
        <f>'Pricing Details'!Q24</f>
        <v>0</v>
      </c>
      <c r="AG20" s="192">
        <f>'Pricing Details'!R24</f>
        <v>0</v>
      </c>
      <c r="AH20" s="192">
        <f>'Pricing Details'!S24</f>
        <v>0</v>
      </c>
      <c r="AI20" s="192">
        <f>'Pricing Details'!T24</f>
        <v>0</v>
      </c>
      <c r="AJ20" s="192">
        <f>'Pricing Details'!U24</f>
        <v>0</v>
      </c>
      <c r="AK20" s="192">
        <f>'Pricing Details'!V24</f>
        <v>0</v>
      </c>
      <c r="AL20" s="192">
        <f>'Pricing Details'!W24</f>
        <v>0</v>
      </c>
      <c r="AM20" s="192">
        <f>'Pricing Details'!X24</f>
        <v>0</v>
      </c>
      <c r="AN20" s="192">
        <f>'Pricing Details'!Y24</f>
        <v>0</v>
      </c>
      <c r="AO20" s="192">
        <f>'Pricing Details'!Z24</f>
        <v>0</v>
      </c>
      <c r="AP20" s="192">
        <f>'Pricing Details'!AA24</f>
        <v>0</v>
      </c>
      <c r="AQ20" s="192">
        <f>'Pricing Details'!AB24</f>
        <v>0</v>
      </c>
      <c r="AR20" s="192">
        <f>'Pricing Details'!AC24</f>
        <v>0</v>
      </c>
      <c r="AS20" s="192">
        <f>'Pricing Details'!AD24</f>
        <v>0</v>
      </c>
      <c r="AT20" s="192">
        <f>'Pricing Details'!AE24</f>
        <v>0</v>
      </c>
      <c r="AU20" s="192">
        <f>'Pricing Details'!AF24</f>
        <v>0</v>
      </c>
      <c r="AV20" s="192">
        <f>'Pricing Details'!AG24</f>
        <v>0</v>
      </c>
      <c r="AW20" s="192">
        <f>'Pricing Details'!AH24</f>
        <v>0</v>
      </c>
      <c r="AX20" s="192">
        <f>'Pricing Details'!AI24</f>
        <v>0</v>
      </c>
      <c r="AY20" s="192">
        <f>'Pricing Details'!AJ24</f>
        <v>0</v>
      </c>
      <c r="AZ20" s="192">
        <f>'Pricing Details'!AK24</f>
        <v>0</v>
      </c>
      <c r="BA20" s="192">
        <f>'Pricing Details'!AL24</f>
        <v>0</v>
      </c>
      <c r="BB20" s="192">
        <f>'Pricing Details'!AM24</f>
        <v>0</v>
      </c>
      <c r="BC20" s="192">
        <f>'Pricing Details'!AN24</f>
        <v>0</v>
      </c>
      <c r="BD20" s="192">
        <f>'Pricing Details'!AO24</f>
        <v>0</v>
      </c>
      <c r="BE20" s="293">
        <f>'Pricing Details'!AP24</f>
        <v>0</v>
      </c>
      <c r="BF20" s="16"/>
      <c r="BG20" s="16"/>
      <c r="BH20" s="16"/>
    </row>
    <row r="21" spans="1:60" x14ac:dyDescent="0.25">
      <c r="A21" s="342" t="s">
        <v>179</v>
      </c>
      <c r="B21" s="258">
        <v>100</v>
      </c>
      <c r="C21" s="290">
        <v>45</v>
      </c>
      <c r="D21" s="359">
        <v>0.35</v>
      </c>
      <c r="E21" s="16"/>
      <c r="F21" s="76">
        <f>'Pricing Details'!B25</f>
        <v>0</v>
      </c>
      <c r="G21" s="77" t="str">
        <f>'Pricing Details'!E25</f>
        <v/>
      </c>
      <c r="H21" s="78">
        <f>'Pricing Details'!AR25</f>
        <v>0</v>
      </c>
      <c r="I21" s="79">
        <f>'Pricing Details'!F25</f>
        <v>0</v>
      </c>
      <c r="J21" s="80">
        <f>'Pricing Details'!AV25</f>
        <v>0</v>
      </c>
      <c r="K21" s="82">
        <f>'Pricing Details'!AU25</f>
        <v>0</v>
      </c>
      <c r="L21" s="16"/>
      <c r="M21" s="76">
        <f>'Pricing Details'!B25</f>
        <v>0</v>
      </c>
      <c r="N21" s="77" t="str">
        <f>'Pricing Details'!E25</f>
        <v/>
      </c>
      <c r="O21" s="81">
        <f>'Pricing Details'!G25</f>
        <v>0</v>
      </c>
      <c r="P21" s="79">
        <f>'Pricing Details'!F25</f>
        <v>0</v>
      </c>
      <c r="Q21" s="80">
        <f>'Pricing Details'!AV25</f>
        <v>0</v>
      </c>
      <c r="R21" s="80">
        <f t="shared" si="1"/>
        <v>0</v>
      </c>
      <c r="S21" s="16"/>
      <c r="T21" s="296">
        <f>'Pricing Details'!B25</f>
        <v>0</v>
      </c>
      <c r="U21" s="193" t="str">
        <f>'Pricing Details'!E25</f>
        <v/>
      </c>
      <c r="V21" s="192">
        <f>'Pricing Details'!G25</f>
        <v>0</v>
      </c>
      <c r="W21" s="192">
        <f>'Pricing Details'!H25</f>
        <v>0</v>
      </c>
      <c r="X21" s="192">
        <f>'Pricing Details'!I25</f>
        <v>0</v>
      </c>
      <c r="Y21" s="192">
        <f>'Pricing Details'!J25</f>
        <v>0</v>
      </c>
      <c r="Z21" s="192">
        <f>'Pricing Details'!K25</f>
        <v>0</v>
      </c>
      <c r="AA21" s="192">
        <f>'Pricing Details'!L25</f>
        <v>0</v>
      </c>
      <c r="AB21" s="192">
        <f>'Pricing Details'!M25</f>
        <v>0</v>
      </c>
      <c r="AC21" s="192">
        <f>'Pricing Details'!N25</f>
        <v>0</v>
      </c>
      <c r="AD21" s="192">
        <f>'Pricing Details'!O25</f>
        <v>0</v>
      </c>
      <c r="AE21" s="192">
        <f>'Pricing Details'!P25</f>
        <v>0</v>
      </c>
      <c r="AF21" s="192">
        <f>'Pricing Details'!Q25</f>
        <v>0</v>
      </c>
      <c r="AG21" s="192">
        <f>'Pricing Details'!R25</f>
        <v>0</v>
      </c>
      <c r="AH21" s="192">
        <f>'Pricing Details'!S25</f>
        <v>0</v>
      </c>
      <c r="AI21" s="192">
        <f>'Pricing Details'!T25</f>
        <v>0</v>
      </c>
      <c r="AJ21" s="192">
        <f>'Pricing Details'!U25</f>
        <v>0</v>
      </c>
      <c r="AK21" s="192">
        <f>'Pricing Details'!V25</f>
        <v>0</v>
      </c>
      <c r="AL21" s="192">
        <f>'Pricing Details'!W25</f>
        <v>0</v>
      </c>
      <c r="AM21" s="192">
        <f>'Pricing Details'!X25</f>
        <v>0</v>
      </c>
      <c r="AN21" s="192">
        <f>'Pricing Details'!Y25</f>
        <v>0</v>
      </c>
      <c r="AO21" s="192">
        <f>'Pricing Details'!Z25</f>
        <v>0</v>
      </c>
      <c r="AP21" s="192">
        <f>'Pricing Details'!AA25</f>
        <v>0</v>
      </c>
      <c r="AQ21" s="192">
        <f>'Pricing Details'!AB25</f>
        <v>0</v>
      </c>
      <c r="AR21" s="192">
        <f>'Pricing Details'!AC25</f>
        <v>0</v>
      </c>
      <c r="AS21" s="192">
        <f>'Pricing Details'!AD25</f>
        <v>0</v>
      </c>
      <c r="AT21" s="192">
        <f>'Pricing Details'!AE25</f>
        <v>0</v>
      </c>
      <c r="AU21" s="192">
        <f>'Pricing Details'!AF25</f>
        <v>0</v>
      </c>
      <c r="AV21" s="192">
        <f>'Pricing Details'!AG25</f>
        <v>0</v>
      </c>
      <c r="AW21" s="192">
        <f>'Pricing Details'!AH25</f>
        <v>0</v>
      </c>
      <c r="AX21" s="192">
        <f>'Pricing Details'!AI25</f>
        <v>0</v>
      </c>
      <c r="AY21" s="192">
        <f>'Pricing Details'!AJ25</f>
        <v>0</v>
      </c>
      <c r="AZ21" s="192">
        <f>'Pricing Details'!AK25</f>
        <v>0</v>
      </c>
      <c r="BA21" s="192">
        <f>'Pricing Details'!AL25</f>
        <v>0</v>
      </c>
      <c r="BB21" s="192">
        <f>'Pricing Details'!AM25</f>
        <v>0</v>
      </c>
      <c r="BC21" s="192">
        <f>'Pricing Details'!AN25</f>
        <v>0</v>
      </c>
      <c r="BD21" s="192">
        <f>'Pricing Details'!AO25</f>
        <v>0</v>
      </c>
      <c r="BE21" s="293">
        <f>'Pricing Details'!AP25</f>
        <v>0</v>
      </c>
      <c r="BF21" s="16"/>
      <c r="BG21" s="16"/>
      <c r="BH21" s="16"/>
    </row>
    <row r="22" spans="1:60" ht="15.75" thickBot="1" x14ac:dyDescent="0.3">
      <c r="A22" s="343" t="s">
        <v>180</v>
      </c>
      <c r="B22" s="344">
        <v>100</v>
      </c>
      <c r="C22" s="345">
        <v>45</v>
      </c>
      <c r="D22" s="360">
        <v>0.35</v>
      </c>
      <c r="E22" s="16"/>
      <c r="F22" s="76">
        <f>'Pricing Details'!B26</f>
        <v>0</v>
      </c>
      <c r="G22" s="77" t="str">
        <f>'Pricing Details'!E26</f>
        <v/>
      </c>
      <c r="H22" s="78">
        <f>'Pricing Details'!AR26</f>
        <v>0</v>
      </c>
      <c r="I22" s="79">
        <f>'Pricing Details'!F26</f>
        <v>0</v>
      </c>
      <c r="J22" s="80">
        <f>'Pricing Details'!AV26</f>
        <v>0</v>
      </c>
      <c r="K22" s="82">
        <f>'Pricing Details'!AU26</f>
        <v>0</v>
      </c>
      <c r="L22" s="16"/>
      <c r="M22" s="76">
        <f>'Pricing Details'!B26</f>
        <v>0</v>
      </c>
      <c r="N22" s="77" t="str">
        <f>'Pricing Details'!E26</f>
        <v/>
      </c>
      <c r="O22" s="81">
        <f>'Pricing Details'!G26</f>
        <v>0</v>
      </c>
      <c r="P22" s="79">
        <f>'Pricing Details'!F26</f>
        <v>0</v>
      </c>
      <c r="Q22" s="80">
        <f>'Pricing Details'!AV26</f>
        <v>0</v>
      </c>
      <c r="R22" s="80">
        <f t="shared" si="1"/>
        <v>0</v>
      </c>
      <c r="S22" s="16"/>
      <c r="T22" s="296">
        <f>'Pricing Details'!B26</f>
        <v>0</v>
      </c>
      <c r="U22" s="193" t="str">
        <f>'Pricing Details'!E26</f>
        <v/>
      </c>
      <c r="V22" s="192">
        <f>'Pricing Details'!G26</f>
        <v>0</v>
      </c>
      <c r="W22" s="192">
        <f>'Pricing Details'!H26</f>
        <v>0</v>
      </c>
      <c r="X22" s="192">
        <f>'Pricing Details'!I26</f>
        <v>0</v>
      </c>
      <c r="Y22" s="192">
        <f>'Pricing Details'!J26</f>
        <v>0</v>
      </c>
      <c r="Z22" s="192">
        <f>'Pricing Details'!K26</f>
        <v>0</v>
      </c>
      <c r="AA22" s="192">
        <f>'Pricing Details'!L26</f>
        <v>0</v>
      </c>
      <c r="AB22" s="192">
        <f>'Pricing Details'!M26</f>
        <v>0</v>
      </c>
      <c r="AC22" s="192">
        <f>'Pricing Details'!N26</f>
        <v>0</v>
      </c>
      <c r="AD22" s="192">
        <f>'Pricing Details'!O26</f>
        <v>0</v>
      </c>
      <c r="AE22" s="192">
        <f>'Pricing Details'!P26</f>
        <v>0</v>
      </c>
      <c r="AF22" s="192">
        <f>'Pricing Details'!Q26</f>
        <v>0</v>
      </c>
      <c r="AG22" s="192">
        <f>'Pricing Details'!R26</f>
        <v>0</v>
      </c>
      <c r="AH22" s="192">
        <f>'Pricing Details'!S26</f>
        <v>0</v>
      </c>
      <c r="AI22" s="192">
        <f>'Pricing Details'!T26</f>
        <v>0</v>
      </c>
      <c r="AJ22" s="192">
        <f>'Pricing Details'!U26</f>
        <v>0</v>
      </c>
      <c r="AK22" s="192">
        <f>'Pricing Details'!V26</f>
        <v>0</v>
      </c>
      <c r="AL22" s="192">
        <f>'Pricing Details'!W26</f>
        <v>0</v>
      </c>
      <c r="AM22" s="192">
        <f>'Pricing Details'!X26</f>
        <v>0</v>
      </c>
      <c r="AN22" s="192">
        <f>'Pricing Details'!Y26</f>
        <v>0</v>
      </c>
      <c r="AO22" s="192">
        <f>'Pricing Details'!Z26</f>
        <v>0</v>
      </c>
      <c r="AP22" s="192">
        <f>'Pricing Details'!AA26</f>
        <v>0</v>
      </c>
      <c r="AQ22" s="192">
        <f>'Pricing Details'!AB26</f>
        <v>0</v>
      </c>
      <c r="AR22" s="192">
        <f>'Pricing Details'!AC26</f>
        <v>0</v>
      </c>
      <c r="AS22" s="192">
        <f>'Pricing Details'!AD26</f>
        <v>0</v>
      </c>
      <c r="AT22" s="192">
        <f>'Pricing Details'!AE26</f>
        <v>0</v>
      </c>
      <c r="AU22" s="192">
        <f>'Pricing Details'!AF26</f>
        <v>0</v>
      </c>
      <c r="AV22" s="192">
        <f>'Pricing Details'!AG26</f>
        <v>0</v>
      </c>
      <c r="AW22" s="192">
        <f>'Pricing Details'!AH26</f>
        <v>0</v>
      </c>
      <c r="AX22" s="192">
        <f>'Pricing Details'!AI26</f>
        <v>0</v>
      </c>
      <c r="AY22" s="192">
        <f>'Pricing Details'!AJ26</f>
        <v>0</v>
      </c>
      <c r="AZ22" s="192">
        <f>'Pricing Details'!AK26</f>
        <v>0</v>
      </c>
      <c r="BA22" s="192">
        <f>'Pricing Details'!AL26</f>
        <v>0</v>
      </c>
      <c r="BB22" s="192">
        <f>'Pricing Details'!AM26</f>
        <v>0</v>
      </c>
      <c r="BC22" s="192">
        <f>'Pricing Details'!AN26</f>
        <v>0</v>
      </c>
      <c r="BD22" s="192">
        <f>'Pricing Details'!AO26</f>
        <v>0</v>
      </c>
      <c r="BE22" s="293">
        <f>'Pricing Details'!AP26</f>
        <v>0</v>
      </c>
      <c r="BF22" s="16"/>
      <c r="BG22" s="16"/>
      <c r="BH22" s="16"/>
    </row>
    <row r="23" spans="1:60" ht="15.75" thickBot="1" x14ac:dyDescent="0.3">
      <c r="A23" s="16"/>
      <c r="B23" s="16"/>
      <c r="C23" s="16"/>
      <c r="D23" s="16"/>
      <c r="E23" s="16"/>
      <c r="F23" s="76">
        <f>'Pricing Details'!B27</f>
        <v>0</v>
      </c>
      <c r="G23" s="77" t="str">
        <f>'Pricing Details'!E27</f>
        <v/>
      </c>
      <c r="H23" s="78">
        <f>'Pricing Details'!AR27</f>
        <v>0</v>
      </c>
      <c r="I23" s="79">
        <f>'Pricing Details'!F27</f>
        <v>0</v>
      </c>
      <c r="J23" s="80">
        <f>'Pricing Details'!AV27</f>
        <v>0</v>
      </c>
      <c r="K23" s="82">
        <f>'Pricing Details'!AU27</f>
        <v>0</v>
      </c>
      <c r="L23" s="16"/>
      <c r="M23" s="76">
        <f>'Pricing Details'!B27</f>
        <v>0</v>
      </c>
      <c r="N23" s="77" t="str">
        <f>'Pricing Details'!E27</f>
        <v/>
      </c>
      <c r="O23" s="81">
        <f>'Pricing Details'!G27</f>
        <v>0</v>
      </c>
      <c r="P23" s="79">
        <f>'Pricing Details'!F27</f>
        <v>0</v>
      </c>
      <c r="Q23" s="80">
        <f>'Pricing Details'!AV27</f>
        <v>0</v>
      </c>
      <c r="R23" s="80">
        <f t="shared" si="1"/>
        <v>0</v>
      </c>
      <c r="S23" s="16"/>
      <c r="T23" s="296">
        <f>'Pricing Details'!B27</f>
        <v>0</v>
      </c>
      <c r="U23" s="193" t="str">
        <f>'Pricing Details'!E27</f>
        <v/>
      </c>
      <c r="V23" s="192">
        <f>'Pricing Details'!G27</f>
        <v>0</v>
      </c>
      <c r="W23" s="192">
        <f>'Pricing Details'!H27</f>
        <v>0</v>
      </c>
      <c r="X23" s="192">
        <f>'Pricing Details'!I27</f>
        <v>0</v>
      </c>
      <c r="Y23" s="192">
        <f>'Pricing Details'!J27</f>
        <v>0</v>
      </c>
      <c r="Z23" s="192">
        <f>'Pricing Details'!K27</f>
        <v>0</v>
      </c>
      <c r="AA23" s="192">
        <f>'Pricing Details'!L27</f>
        <v>0</v>
      </c>
      <c r="AB23" s="192">
        <f>'Pricing Details'!M27</f>
        <v>0</v>
      </c>
      <c r="AC23" s="192">
        <f>'Pricing Details'!N27</f>
        <v>0</v>
      </c>
      <c r="AD23" s="192">
        <f>'Pricing Details'!O27</f>
        <v>0</v>
      </c>
      <c r="AE23" s="192">
        <f>'Pricing Details'!P27</f>
        <v>0</v>
      </c>
      <c r="AF23" s="192">
        <f>'Pricing Details'!Q27</f>
        <v>0</v>
      </c>
      <c r="AG23" s="192">
        <f>'Pricing Details'!R27</f>
        <v>0</v>
      </c>
      <c r="AH23" s="192">
        <f>'Pricing Details'!S27</f>
        <v>0</v>
      </c>
      <c r="AI23" s="192">
        <f>'Pricing Details'!T27</f>
        <v>0</v>
      </c>
      <c r="AJ23" s="192">
        <f>'Pricing Details'!U27</f>
        <v>0</v>
      </c>
      <c r="AK23" s="192">
        <f>'Pricing Details'!V27</f>
        <v>0</v>
      </c>
      <c r="AL23" s="192">
        <f>'Pricing Details'!W27</f>
        <v>0</v>
      </c>
      <c r="AM23" s="192">
        <f>'Pricing Details'!X27</f>
        <v>0</v>
      </c>
      <c r="AN23" s="192">
        <f>'Pricing Details'!Y27</f>
        <v>0</v>
      </c>
      <c r="AO23" s="192">
        <f>'Pricing Details'!Z27</f>
        <v>0</v>
      </c>
      <c r="AP23" s="192">
        <f>'Pricing Details'!AA27</f>
        <v>0</v>
      </c>
      <c r="AQ23" s="192">
        <f>'Pricing Details'!AB27</f>
        <v>0</v>
      </c>
      <c r="AR23" s="192">
        <f>'Pricing Details'!AC27</f>
        <v>0</v>
      </c>
      <c r="AS23" s="192">
        <f>'Pricing Details'!AD27</f>
        <v>0</v>
      </c>
      <c r="AT23" s="192">
        <f>'Pricing Details'!AE27</f>
        <v>0</v>
      </c>
      <c r="AU23" s="192">
        <f>'Pricing Details'!AF27</f>
        <v>0</v>
      </c>
      <c r="AV23" s="192">
        <f>'Pricing Details'!AG27</f>
        <v>0</v>
      </c>
      <c r="AW23" s="192">
        <f>'Pricing Details'!AH27</f>
        <v>0</v>
      </c>
      <c r="AX23" s="192">
        <f>'Pricing Details'!AI27</f>
        <v>0</v>
      </c>
      <c r="AY23" s="192">
        <f>'Pricing Details'!AJ27</f>
        <v>0</v>
      </c>
      <c r="AZ23" s="192">
        <f>'Pricing Details'!AK27</f>
        <v>0</v>
      </c>
      <c r="BA23" s="192">
        <f>'Pricing Details'!AL27</f>
        <v>0</v>
      </c>
      <c r="BB23" s="192">
        <f>'Pricing Details'!AM27</f>
        <v>0</v>
      </c>
      <c r="BC23" s="192">
        <f>'Pricing Details'!AN27</f>
        <v>0</v>
      </c>
      <c r="BD23" s="192">
        <f>'Pricing Details'!AO27</f>
        <v>0</v>
      </c>
      <c r="BE23" s="293">
        <f>'Pricing Details'!AP27</f>
        <v>0</v>
      </c>
      <c r="BF23" s="16"/>
      <c r="BG23" s="16"/>
      <c r="BH23" s="16"/>
    </row>
    <row r="24" spans="1:60" x14ac:dyDescent="0.25">
      <c r="A24" s="348" t="s">
        <v>181</v>
      </c>
      <c r="B24" s="349"/>
      <c r="C24" s="350"/>
      <c r="D24" s="16"/>
      <c r="E24" s="16"/>
      <c r="F24" s="76">
        <f>'Pricing Details'!B28</f>
        <v>0</v>
      </c>
      <c r="G24" s="77" t="str">
        <f>'Pricing Details'!E28</f>
        <v/>
      </c>
      <c r="H24" s="78">
        <f>'Pricing Details'!AR28</f>
        <v>0</v>
      </c>
      <c r="I24" s="79">
        <f>'Pricing Details'!F28</f>
        <v>0</v>
      </c>
      <c r="J24" s="80">
        <f>'Pricing Details'!AV28</f>
        <v>0</v>
      </c>
      <c r="K24" s="82">
        <f>'Pricing Details'!AU28</f>
        <v>0</v>
      </c>
      <c r="L24" s="16"/>
      <c r="M24" s="76">
        <f>'Pricing Details'!B28</f>
        <v>0</v>
      </c>
      <c r="N24" s="77" t="str">
        <f>'Pricing Details'!E28</f>
        <v/>
      </c>
      <c r="O24" s="81">
        <f>'Pricing Details'!G28</f>
        <v>0</v>
      </c>
      <c r="P24" s="79">
        <f>'Pricing Details'!F28</f>
        <v>0</v>
      </c>
      <c r="Q24" s="80">
        <f>'Pricing Details'!AV28</f>
        <v>0</v>
      </c>
      <c r="R24" s="80">
        <f t="shared" si="1"/>
        <v>0</v>
      </c>
      <c r="S24" s="16"/>
      <c r="T24" s="296">
        <f>'Pricing Details'!B28</f>
        <v>0</v>
      </c>
      <c r="U24" s="193" t="str">
        <f>'Pricing Details'!E28</f>
        <v/>
      </c>
      <c r="V24" s="192">
        <f>'Pricing Details'!G28</f>
        <v>0</v>
      </c>
      <c r="W24" s="192">
        <f>'Pricing Details'!H28</f>
        <v>0</v>
      </c>
      <c r="X24" s="192">
        <f>'Pricing Details'!I28</f>
        <v>0</v>
      </c>
      <c r="Y24" s="192">
        <f>'Pricing Details'!J28</f>
        <v>0</v>
      </c>
      <c r="Z24" s="192">
        <f>'Pricing Details'!K28</f>
        <v>0</v>
      </c>
      <c r="AA24" s="192">
        <f>'Pricing Details'!L28</f>
        <v>0</v>
      </c>
      <c r="AB24" s="192">
        <f>'Pricing Details'!M28</f>
        <v>0</v>
      </c>
      <c r="AC24" s="192">
        <f>'Pricing Details'!N28</f>
        <v>0</v>
      </c>
      <c r="AD24" s="192">
        <f>'Pricing Details'!O28</f>
        <v>0</v>
      </c>
      <c r="AE24" s="192">
        <f>'Pricing Details'!P28</f>
        <v>0</v>
      </c>
      <c r="AF24" s="192">
        <f>'Pricing Details'!Q28</f>
        <v>0</v>
      </c>
      <c r="AG24" s="192">
        <f>'Pricing Details'!R28</f>
        <v>0</v>
      </c>
      <c r="AH24" s="192">
        <f>'Pricing Details'!S28</f>
        <v>0</v>
      </c>
      <c r="AI24" s="192">
        <f>'Pricing Details'!T28</f>
        <v>0</v>
      </c>
      <c r="AJ24" s="192">
        <f>'Pricing Details'!U28</f>
        <v>0</v>
      </c>
      <c r="AK24" s="192">
        <f>'Pricing Details'!V28</f>
        <v>0</v>
      </c>
      <c r="AL24" s="192">
        <f>'Pricing Details'!W28</f>
        <v>0</v>
      </c>
      <c r="AM24" s="192">
        <f>'Pricing Details'!X28</f>
        <v>0</v>
      </c>
      <c r="AN24" s="192">
        <f>'Pricing Details'!Y28</f>
        <v>0</v>
      </c>
      <c r="AO24" s="192">
        <f>'Pricing Details'!Z28</f>
        <v>0</v>
      </c>
      <c r="AP24" s="192">
        <f>'Pricing Details'!AA28</f>
        <v>0</v>
      </c>
      <c r="AQ24" s="192">
        <f>'Pricing Details'!AB28</f>
        <v>0</v>
      </c>
      <c r="AR24" s="192">
        <f>'Pricing Details'!AC28</f>
        <v>0</v>
      </c>
      <c r="AS24" s="192">
        <f>'Pricing Details'!AD28</f>
        <v>0</v>
      </c>
      <c r="AT24" s="192">
        <f>'Pricing Details'!AE28</f>
        <v>0</v>
      </c>
      <c r="AU24" s="192">
        <f>'Pricing Details'!AF28</f>
        <v>0</v>
      </c>
      <c r="AV24" s="192">
        <f>'Pricing Details'!AG28</f>
        <v>0</v>
      </c>
      <c r="AW24" s="192">
        <f>'Pricing Details'!AH28</f>
        <v>0</v>
      </c>
      <c r="AX24" s="192">
        <f>'Pricing Details'!AI28</f>
        <v>0</v>
      </c>
      <c r="AY24" s="192">
        <f>'Pricing Details'!AJ28</f>
        <v>0</v>
      </c>
      <c r="AZ24" s="192">
        <f>'Pricing Details'!AK28</f>
        <v>0</v>
      </c>
      <c r="BA24" s="192">
        <f>'Pricing Details'!AL28</f>
        <v>0</v>
      </c>
      <c r="BB24" s="192">
        <f>'Pricing Details'!AM28</f>
        <v>0</v>
      </c>
      <c r="BC24" s="192">
        <f>'Pricing Details'!AN28</f>
        <v>0</v>
      </c>
      <c r="BD24" s="192">
        <f>'Pricing Details'!AO28</f>
        <v>0</v>
      </c>
      <c r="BE24" s="293">
        <f>'Pricing Details'!AP28</f>
        <v>0</v>
      </c>
      <c r="BF24" s="16"/>
      <c r="BG24" s="16"/>
      <c r="BH24" s="16"/>
    </row>
    <row r="25" spans="1:60" ht="27.4" customHeight="1" x14ac:dyDescent="0.25">
      <c r="A25" s="351" t="s">
        <v>182</v>
      </c>
      <c r="B25" s="73" t="s">
        <v>183</v>
      </c>
      <c r="C25" s="352" t="s">
        <v>175</v>
      </c>
      <c r="D25" s="16"/>
      <c r="E25" s="16"/>
      <c r="F25" s="76">
        <f>'Pricing Details'!B29</f>
        <v>0</v>
      </c>
      <c r="G25" s="77" t="str">
        <f>'Pricing Details'!E29</f>
        <v/>
      </c>
      <c r="H25" s="78">
        <f>'Pricing Details'!AR29</f>
        <v>0</v>
      </c>
      <c r="I25" s="79">
        <f>'Pricing Details'!F29</f>
        <v>0</v>
      </c>
      <c r="J25" s="80">
        <f>'Pricing Details'!AV29</f>
        <v>0</v>
      </c>
      <c r="K25" s="82">
        <f>'Pricing Details'!AU29</f>
        <v>0</v>
      </c>
      <c r="L25" s="16"/>
      <c r="M25" s="76">
        <f>'Pricing Details'!B29</f>
        <v>0</v>
      </c>
      <c r="N25" s="77" t="str">
        <f>'Pricing Details'!E29</f>
        <v/>
      </c>
      <c r="O25" s="81">
        <f>'Pricing Details'!G29</f>
        <v>0</v>
      </c>
      <c r="P25" s="79">
        <f>'Pricing Details'!F29</f>
        <v>0</v>
      </c>
      <c r="Q25" s="80">
        <f>'Pricing Details'!AV29</f>
        <v>0</v>
      </c>
      <c r="R25" s="80">
        <f t="shared" si="1"/>
        <v>0</v>
      </c>
      <c r="S25" s="16"/>
      <c r="T25" s="296">
        <f>'Pricing Details'!B29</f>
        <v>0</v>
      </c>
      <c r="U25" s="193" t="str">
        <f>'Pricing Details'!E29</f>
        <v/>
      </c>
      <c r="V25" s="192">
        <f>'Pricing Details'!G29</f>
        <v>0</v>
      </c>
      <c r="W25" s="192">
        <f>'Pricing Details'!H29</f>
        <v>0</v>
      </c>
      <c r="X25" s="192">
        <f>'Pricing Details'!I29</f>
        <v>0</v>
      </c>
      <c r="Y25" s="192">
        <f>'Pricing Details'!J29</f>
        <v>0</v>
      </c>
      <c r="Z25" s="192">
        <f>'Pricing Details'!K29</f>
        <v>0</v>
      </c>
      <c r="AA25" s="192">
        <f>'Pricing Details'!L29</f>
        <v>0</v>
      </c>
      <c r="AB25" s="192">
        <f>'Pricing Details'!M29</f>
        <v>0</v>
      </c>
      <c r="AC25" s="192">
        <f>'Pricing Details'!N29</f>
        <v>0</v>
      </c>
      <c r="AD25" s="192">
        <f>'Pricing Details'!O29</f>
        <v>0</v>
      </c>
      <c r="AE25" s="192">
        <f>'Pricing Details'!P29</f>
        <v>0</v>
      </c>
      <c r="AF25" s="192">
        <f>'Pricing Details'!Q29</f>
        <v>0</v>
      </c>
      <c r="AG25" s="192">
        <f>'Pricing Details'!R29</f>
        <v>0</v>
      </c>
      <c r="AH25" s="192">
        <f>'Pricing Details'!S29</f>
        <v>0</v>
      </c>
      <c r="AI25" s="192">
        <f>'Pricing Details'!T29</f>
        <v>0</v>
      </c>
      <c r="AJ25" s="192">
        <f>'Pricing Details'!U29</f>
        <v>0</v>
      </c>
      <c r="AK25" s="192">
        <f>'Pricing Details'!V29</f>
        <v>0</v>
      </c>
      <c r="AL25" s="192">
        <f>'Pricing Details'!W29</f>
        <v>0</v>
      </c>
      <c r="AM25" s="192">
        <f>'Pricing Details'!X29</f>
        <v>0</v>
      </c>
      <c r="AN25" s="192">
        <f>'Pricing Details'!Y29</f>
        <v>0</v>
      </c>
      <c r="AO25" s="192">
        <f>'Pricing Details'!Z29</f>
        <v>0</v>
      </c>
      <c r="AP25" s="192">
        <f>'Pricing Details'!AA29</f>
        <v>0</v>
      </c>
      <c r="AQ25" s="192">
        <f>'Pricing Details'!AB29</f>
        <v>0</v>
      </c>
      <c r="AR25" s="192">
        <f>'Pricing Details'!AC29</f>
        <v>0</v>
      </c>
      <c r="AS25" s="192">
        <f>'Pricing Details'!AD29</f>
        <v>0</v>
      </c>
      <c r="AT25" s="192">
        <f>'Pricing Details'!AE29</f>
        <v>0</v>
      </c>
      <c r="AU25" s="192">
        <f>'Pricing Details'!AF29</f>
        <v>0</v>
      </c>
      <c r="AV25" s="192">
        <f>'Pricing Details'!AG29</f>
        <v>0</v>
      </c>
      <c r="AW25" s="192">
        <f>'Pricing Details'!AH29</f>
        <v>0</v>
      </c>
      <c r="AX25" s="192">
        <f>'Pricing Details'!AI29</f>
        <v>0</v>
      </c>
      <c r="AY25" s="192">
        <f>'Pricing Details'!AJ29</f>
        <v>0</v>
      </c>
      <c r="AZ25" s="192">
        <f>'Pricing Details'!AK29</f>
        <v>0</v>
      </c>
      <c r="BA25" s="192">
        <f>'Pricing Details'!AL29</f>
        <v>0</v>
      </c>
      <c r="BB25" s="192">
        <f>'Pricing Details'!AM29</f>
        <v>0</v>
      </c>
      <c r="BC25" s="192">
        <f>'Pricing Details'!AN29</f>
        <v>0</v>
      </c>
      <c r="BD25" s="192">
        <f>'Pricing Details'!AO29</f>
        <v>0</v>
      </c>
      <c r="BE25" s="293">
        <f>'Pricing Details'!AP29</f>
        <v>0</v>
      </c>
      <c r="BF25" s="16"/>
      <c r="BG25" s="16"/>
      <c r="BH25" s="16"/>
    </row>
    <row r="26" spans="1:60" ht="15.75" thickBot="1" x14ac:dyDescent="0.3">
      <c r="A26" s="357">
        <v>185</v>
      </c>
      <c r="B26" s="344">
        <v>120</v>
      </c>
      <c r="C26" s="358">
        <f>(A26-B26)/A26</f>
        <v>0.35135135135135137</v>
      </c>
      <c r="D26" s="16"/>
      <c r="E26" s="16"/>
      <c r="F26" s="76">
        <f>'Pricing Details'!B30</f>
        <v>0</v>
      </c>
      <c r="G26" s="77" t="str">
        <f>'Pricing Details'!E30</f>
        <v/>
      </c>
      <c r="H26" s="78">
        <f>'Pricing Details'!AR30</f>
        <v>0</v>
      </c>
      <c r="I26" s="79">
        <f>'Pricing Details'!F30</f>
        <v>0</v>
      </c>
      <c r="J26" s="80">
        <f>'Pricing Details'!AV30</f>
        <v>0</v>
      </c>
      <c r="K26" s="82">
        <f>'Pricing Details'!AU30</f>
        <v>0</v>
      </c>
      <c r="L26" s="16"/>
      <c r="M26" s="76">
        <f>'Pricing Details'!B30</f>
        <v>0</v>
      </c>
      <c r="N26" s="77" t="str">
        <f>'Pricing Details'!E30</f>
        <v/>
      </c>
      <c r="O26" s="81">
        <f>'Pricing Details'!G30</f>
        <v>0</v>
      </c>
      <c r="P26" s="79">
        <f>'Pricing Details'!F30</f>
        <v>0</v>
      </c>
      <c r="Q26" s="80">
        <f>'Pricing Details'!AV30</f>
        <v>0</v>
      </c>
      <c r="R26" s="80">
        <f t="shared" si="1"/>
        <v>0</v>
      </c>
      <c r="S26" s="16"/>
      <c r="T26" s="296">
        <f>'Pricing Details'!B30</f>
        <v>0</v>
      </c>
      <c r="U26" s="193" t="str">
        <f>'Pricing Details'!E30</f>
        <v/>
      </c>
      <c r="V26" s="192">
        <f>'Pricing Details'!G30</f>
        <v>0</v>
      </c>
      <c r="W26" s="192">
        <f>'Pricing Details'!H30</f>
        <v>0</v>
      </c>
      <c r="X26" s="192">
        <f>'Pricing Details'!I30</f>
        <v>0</v>
      </c>
      <c r="Y26" s="192">
        <f>'Pricing Details'!J30</f>
        <v>0</v>
      </c>
      <c r="Z26" s="192">
        <f>'Pricing Details'!K30</f>
        <v>0</v>
      </c>
      <c r="AA26" s="192">
        <f>'Pricing Details'!L30</f>
        <v>0</v>
      </c>
      <c r="AB26" s="192">
        <f>'Pricing Details'!M30</f>
        <v>0</v>
      </c>
      <c r="AC26" s="192">
        <f>'Pricing Details'!N30</f>
        <v>0</v>
      </c>
      <c r="AD26" s="192">
        <f>'Pricing Details'!O30</f>
        <v>0</v>
      </c>
      <c r="AE26" s="192">
        <f>'Pricing Details'!P30</f>
        <v>0</v>
      </c>
      <c r="AF26" s="192">
        <f>'Pricing Details'!Q30</f>
        <v>0</v>
      </c>
      <c r="AG26" s="192">
        <f>'Pricing Details'!R30</f>
        <v>0</v>
      </c>
      <c r="AH26" s="192">
        <f>'Pricing Details'!S30</f>
        <v>0</v>
      </c>
      <c r="AI26" s="192">
        <f>'Pricing Details'!T30</f>
        <v>0</v>
      </c>
      <c r="AJ26" s="192">
        <f>'Pricing Details'!U30</f>
        <v>0</v>
      </c>
      <c r="AK26" s="192">
        <f>'Pricing Details'!V30</f>
        <v>0</v>
      </c>
      <c r="AL26" s="192">
        <f>'Pricing Details'!W30</f>
        <v>0</v>
      </c>
      <c r="AM26" s="192">
        <f>'Pricing Details'!X30</f>
        <v>0</v>
      </c>
      <c r="AN26" s="192">
        <f>'Pricing Details'!Y30</f>
        <v>0</v>
      </c>
      <c r="AO26" s="192">
        <f>'Pricing Details'!Z30</f>
        <v>0</v>
      </c>
      <c r="AP26" s="192">
        <f>'Pricing Details'!AA30</f>
        <v>0</v>
      </c>
      <c r="AQ26" s="192">
        <f>'Pricing Details'!AB30</f>
        <v>0</v>
      </c>
      <c r="AR26" s="192">
        <f>'Pricing Details'!AC30</f>
        <v>0</v>
      </c>
      <c r="AS26" s="192">
        <f>'Pricing Details'!AD30</f>
        <v>0</v>
      </c>
      <c r="AT26" s="192">
        <f>'Pricing Details'!AE30</f>
        <v>0</v>
      </c>
      <c r="AU26" s="192">
        <f>'Pricing Details'!AF30</f>
        <v>0</v>
      </c>
      <c r="AV26" s="192">
        <f>'Pricing Details'!AG30</f>
        <v>0</v>
      </c>
      <c r="AW26" s="192">
        <f>'Pricing Details'!AH30</f>
        <v>0</v>
      </c>
      <c r="AX26" s="192">
        <f>'Pricing Details'!AI30</f>
        <v>0</v>
      </c>
      <c r="AY26" s="192">
        <f>'Pricing Details'!AJ30</f>
        <v>0</v>
      </c>
      <c r="AZ26" s="192">
        <f>'Pricing Details'!AK30</f>
        <v>0</v>
      </c>
      <c r="BA26" s="192">
        <f>'Pricing Details'!AL30</f>
        <v>0</v>
      </c>
      <c r="BB26" s="192">
        <f>'Pricing Details'!AM30</f>
        <v>0</v>
      </c>
      <c r="BC26" s="192">
        <f>'Pricing Details'!AN30</f>
        <v>0</v>
      </c>
      <c r="BD26" s="192">
        <f>'Pricing Details'!AO30</f>
        <v>0</v>
      </c>
      <c r="BE26" s="293">
        <f>'Pricing Details'!AP30</f>
        <v>0</v>
      </c>
      <c r="BF26" s="16"/>
      <c r="BG26" s="16"/>
      <c r="BH26" s="16"/>
    </row>
    <row r="27" spans="1:60" ht="15.75" thickBot="1" x14ac:dyDescent="0.3">
      <c r="A27" s="16"/>
      <c r="B27" s="16"/>
      <c r="C27" s="16"/>
      <c r="D27" s="16"/>
      <c r="E27" s="16"/>
      <c r="F27" s="76">
        <f>'Pricing Details'!B31</f>
        <v>0</v>
      </c>
      <c r="G27" s="77" t="str">
        <f>'Pricing Details'!E31</f>
        <v/>
      </c>
      <c r="H27" s="78">
        <f>'Pricing Details'!AR31</f>
        <v>0</v>
      </c>
      <c r="I27" s="79">
        <f>'Pricing Details'!F31</f>
        <v>0</v>
      </c>
      <c r="J27" s="80">
        <f>'Pricing Details'!AV31</f>
        <v>0</v>
      </c>
      <c r="K27" s="82">
        <f>'Pricing Details'!AU31</f>
        <v>0</v>
      </c>
      <c r="L27" s="16"/>
      <c r="M27" s="76">
        <f>'Pricing Details'!B31</f>
        <v>0</v>
      </c>
      <c r="N27" s="77" t="str">
        <f>'Pricing Details'!E31</f>
        <v/>
      </c>
      <c r="O27" s="81">
        <f>'Pricing Details'!G31</f>
        <v>0</v>
      </c>
      <c r="P27" s="79">
        <f>'Pricing Details'!F31</f>
        <v>0</v>
      </c>
      <c r="Q27" s="80">
        <f>'Pricing Details'!AV31</f>
        <v>0</v>
      </c>
      <c r="R27" s="80">
        <f t="shared" si="1"/>
        <v>0</v>
      </c>
      <c r="S27" s="16"/>
      <c r="T27" s="296">
        <f>'Pricing Details'!B31</f>
        <v>0</v>
      </c>
      <c r="U27" s="193" t="str">
        <f>'Pricing Details'!E31</f>
        <v/>
      </c>
      <c r="V27" s="192">
        <f>'Pricing Details'!G31</f>
        <v>0</v>
      </c>
      <c r="W27" s="192">
        <f>'Pricing Details'!H31</f>
        <v>0</v>
      </c>
      <c r="X27" s="192">
        <f>'Pricing Details'!I31</f>
        <v>0</v>
      </c>
      <c r="Y27" s="192">
        <f>'Pricing Details'!J31</f>
        <v>0</v>
      </c>
      <c r="Z27" s="192">
        <f>'Pricing Details'!K31</f>
        <v>0</v>
      </c>
      <c r="AA27" s="192">
        <f>'Pricing Details'!L31</f>
        <v>0</v>
      </c>
      <c r="AB27" s="192">
        <f>'Pricing Details'!M31</f>
        <v>0</v>
      </c>
      <c r="AC27" s="192">
        <f>'Pricing Details'!N31</f>
        <v>0</v>
      </c>
      <c r="AD27" s="192">
        <f>'Pricing Details'!O31</f>
        <v>0</v>
      </c>
      <c r="AE27" s="192">
        <f>'Pricing Details'!P31</f>
        <v>0</v>
      </c>
      <c r="AF27" s="192">
        <f>'Pricing Details'!Q31</f>
        <v>0</v>
      </c>
      <c r="AG27" s="192">
        <f>'Pricing Details'!R31</f>
        <v>0</v>
      </c>
      <c r="AH27" s="192">
        <f>'Pricing Details'!S31</f>
        <v>0</v>
      </c>
      <c r="AI27" s="192">
        <f>'Pricing Details'!T31</f>
        <v>0</v>
      </c>
      <c r="AJ27" s="192">
        <f>'Pricing Details'!U31</f>
        <v>0</v>
      </c>
      <c r="AK27" s="192">
        <f>'Pricing Details'!V31</f>
        <v>0</v>
      </c>
      <c r="AL27" s="192">
        <f>'Pricing Details'!W31</f>
        <v>0</v>
      </c>
      <c r="AM27" s="192">
        <f>'Pricing Details'!X31</f>
        <v>0</v>
      </c>
      <c r="AN27" s="192">
        <f>'Pricing Details'!Y31</f>
        <v>0</v>
      </c>
      <c r="AO27" s="192">
        <f>'Pricing Details'!Z31</f>
        <v>0</v>
      </c>
      <c r="AP27" s="192">
        <f>'Pricing Details'!AA31</f>
        <v>0</v>
      </c>
      <c r="AQ27" s="192">
        <f>'Pricing Details'!AB31</f>
        <v>0</v>
      </c>
      <c r="AR27" s="192">
        <f>'Pricing Details'!AC31</f>
        <v>0</v>
      </c>
      <c r="AS27" s="192">
        <f>'Pricing Details'!AD31</f>
        <v>0</v>
      </c>
      <c r="AT27" s="192">
        <f>'Pricing Details'!AE31</f>
        <v>0</v>
      </c>
      <c r="AU27" s="192">
        <f>'Pricing Details'!AF31</f>
        <v>0</v>
      </c>
      <c r="AV27" s="192">
        <f>'Pricing Details'!AG31</f>
        <v>0</v>
      </c>
      <c r="AW27" s="192">
        <f>'Pricing Details'!AH31</f>
        <v>0</v>
      </c>
      <c r="AX27" s="192">
        <f>'Pricing Details'!AI31</f>
        <v>0</v>
      </c>
      <c r="AY27" s="192">
        <f>'Pricing Details'!AJ31</f>
        <v>0</v>
      </c>
      <c r="AZ27" s="192">
        <f>'Pricing Details'!AK31</f>
        <v>0</v>
      </c>
      <c r="BA27" s="192">
        <f>'Pricing Details'!AL31</f>
        <v>0</v>
      </c>
      <c r="BB27" s="192">
        <f>'Pricing Details'!AM31</f>
        <v>0</v>
      </c>
      <c r="BC27" s="192">
        <f>'Pricing Details'!AN31</f>
        <v>0</v>
      </c>
      <c r="BD27" s="192">
        <f>'Pricing Details'!AO31</f>
        <v>0</v>
      </c>
      <c r="BE27" s="293">
        <f>'Pricing Details'!AP31</f>
        <v>0</v>
      </c>
      <c r="BF27" s="16"/>
      <c r="BG27" s="16"/>
      <c r="BH27" s="16"/>
    </row>
    <row r="28" spans="1:60" ht="14.25" customHeight="1" x14ac:dyDescent="0.25">
      <c r="A28" s="438" t="s">
        <v>184</v>
      </c>
      <c r="B28" s="439"/>
      <c r="C28" s="439"/>
      <c r="D28" s="440"/>
      <c r="E28" s="16"/>
      <c r="F28" s="76">
        <f>'Pricing Details'!B32</f>
        <v>0</v>
      </c>
      <c r="G28" s="77" t="str">
        <f>'Pricing Details'!E32</f>
        <v/>
      </c>
      <c r="H28" s="78">
        <f>'Pricing Details'!AR32</f>
        <v>0</v>
      </c>
      <c r="I28" s="79">
        <f>'Pricing Details'!F32</f>
        <v>0</v>
      </c>
      <c r="J28" s="80">
        <f>'Pricing Details'!AV32</f>
        <v>0</v>
      </c>
      <c r="K28" s="82">
        <f>'Pricing Details'!AU32</f>
        <v>0</v>
      </c>
      <c r="L28" s="16"/>
      <c r="M28" s="76">
        <f>'Pricing Details'!B32</f>
        <v>0</v>
      </c>
      <c r="N28" s="77" t="str">
        <f>'Pricing Details'!E32</f>
        <v/>
      </c>
      <c r="O28" s="81">
        <f>'Pricing Details'!G32</f>
        <v>0</v>
      </c>
      <c r="P28" s="79">
        <f>'Pricing Details'!F32</f>
        <v>0</v>
      </c>
      <c r="Q28" s="80">
        <f>'Pricing Details'!AV32</f>
        <v>0</v>
      </c>
      <c r="R28" s="80">
        <f t="shared" si="1"/>
        <v>0</v>
      </c>
      <c r="S28" s="16"/>
      <c r="T28" s="296">
        <f>'Pricing Details'!B32</f>
        <v>0</v>
      </c>
      <c r="U28" s="193" t="str">
        <f>'Pricing Details'!E32</f>
        <v/>
      </c>
      <c r="V28" s="192">
        <f>'Pricing Details'!G32</f>
        <v>0</v>
      </c>
      <c r="W28" s="192">
        <f>'Pricing Details'!H32</f>
        <v>0</v>
      </c>
      <c r="X28" s="192">
        <f>'Pricing Details'!I32</f>
        <v>0</v>
      </c>
      <c r="Y28" s="192">
        <f>'Pricing Details'!J32</f>
        <v>0</v>
      </c>
      <c r="Z28" s="192">
        <f>'Pricing Details'!K32</f>
        <v>0</v>
      </c>
      <c r="AA28" s="192">
        <f>'Pricing Details'!L32</f>
        <v>0</v>
      </c>
      <c r="AB28" s="192">
        <f>'Pricing Details'!M32</f>
        <v>0</v>
      </c>
      <c r="AC28" s="192">
        <f>'Pricing Details'!N32</f>
        <v>0</v>
      </c>
      <c r="AD28" s="192">
        <f>'Pricing Details'!O32</f>
        <v>0</v>
      </c>
      <c r="AE28" s="192">
        <f>'Pricing Details'!P32</f>
        <v>0</v>
      </c>
      <c r="AF28" s="192">
        <f>'Pricing Details'!Q32</f>
        <v>0</v>
      </c>
      <c r="AG28" s="192">
        <f>'Pricing Details'!R32</f>
        <v>0</v>
      </c>
      <c r="AH28" s="192">
        <f>'Pricing Details'!S32</f>
        <v>0</v>
      </c>
      <c r="AI28" s="192">
        <f>'Pricing Details'!T32</f>
        <v>0</v>
      </c>
      <c r="AJ28" s="192">
        <f>'Pricing Details'!U32</f>
        <v>0</v>
      </c>
      <c r="AK28" s="192">
        <f>'Pricing Details'!V32</f>
        <v>0</v>
      </c>
      <c r="AL28" s="192">
        <f>'Pricing Details'!W32</f>
        <v>0</v>
      </c>
      <c r="AM28" s="192">
        <f>'Pricing Details'!X32</f>
        <v>0</v>
      </c>
      <c r="AN28" s="192">
        <f>'Pricing Details'!Y32</f>
        <v>0</v>
      </c>
      <c r="AO28" s="192">
        <f>'Pricing Details'!Z32</f>
        <v>0</v>
      </c>
      <c r="AP28" s="192">
        <f>'Pricing Details'!AA32</f>
        <v>0</v>
      </c>
      <c r="AQ28" s="192">
        <f>'Pricing Details'!AB32</f>
        <v>0</v>
      </c>
      <c r="AR28" s="192">
        <f>'Pricing Details'!AC32</f>
        <v>0</v>
      </c>
      <c r="AS28" s="192">
        <f>'Pricing Details'!AD32</f>
        <v>0</v>
      </c>
      <c r="AT28" s="192">
        <f>'Pricing Details'!AE32</f>
        <v>0</v>
      </c>
      <c r="AU28" s="192">
        <f>'Pricing Details'!AF32</f>
        <v>0</v>
      </c>
      <c r="AV28" s="192">
        <f>'Pricing Details'!AG32</f>
        <v>0</v>
      </c>
      <c r="AW28" s="192">
        <f>'Pricing Details'!AH32</f>
        <v>0</v>
      </c>
      <c r="AX28" s="192">
        <f>'Pricing Details'!AI32</f>
        <v>0</v>
      </c>
      <c r="AY28" s="192">
        <f>'Pricing Details'!AJ32</f>
        <v>0</v>
      </c>
      <c r="AZ28" s="192">
        <f>'Pricing Details'!AK32</f>
        <v>0</v>
      </c>
      <c r="BA28" s="192">
        <f>'Pricing Details'!AL32</f>
        <v>0</v>
      </c>
      <c r="BB28" s="192">
        <f>'Pricing Details'!AM32</f>
        <v>0</v>
      </c>
      <c r="BC28" s="192">
        <f>'Pricing Details'!AN32</f>
        <v>0</v>
      </c>
      <c r="BD28" s="192">
        <f>'Pricing Details'!AO32</f>
        <v>0</v>
      </c>
      <c r="BE28" s="293">
        <f>'Pricing Details'!AP32</f>
        <v>0</v>
      </c>
      <c r="BF28" s="16"/>
      <c r="BG28" s="16"/>
      <c r="BH28" s="16"/>
    </row>
    <row r="29" spans="1:60" x14ac:dyDescent="0.25">
      <c r="A29" s="441"/>
      <c r="B29" s="442"/>
      <c r="C29" s="442"/>
      <c r="D29" s="443"/>
      <c r="E29" s="16"/>
      <c r="F29" s="76">
        <f>'Pricing Details'!B33</f>
        <v>0</v>
      </c>
      <c r="G29" s="77" t="str">
        <f>'Pricing Details'!E33</f>
        <v/>
      </c>
      <c r="H29" s="78">
        <f>'Pricing Details'!AR33</f>
        <v>0</v>
      </c>
      <c r="I29" s="79">
        <f>'Pricing Details'!F33</f>
        <v>0</v>
      </c>
      <c r="J29" s="80">
        <f>'Pricing Details'!AV33</f>
        <v>0</v>
      </c>
      <c r="K29" s="82">
        <f>'Pricing Details'!AU33</f>
        <v>0</v>
      </c>
      <c r="L29" s="16"/>
      <c r="M29" s="76">
        <f>'Pricing Details'!B33</f>
        <v>0</v>
      </c>
      <c r="N29" s="77" t="str">
        <f>'Pricing Details'!E33</f>
        <v/>
      </c>
      <c r="O29" s="81">
        <f>'Pricing Details'!G33</f>
        <v>0</v>
      </c>
      <c r="P29" s="79">
        <f>'Pricing Details'!F33</f>
        <v>0</v>
      </c>
      <c r="Q29" s="80">
        <f>'Pricing Details'!AV33</f>
        <v>0</v>
      </c>
      <c r="R29" s="80">
        <f t="shared" si="1"/>
        <v>0</v>
      </c>
      <c r="S29" s="16"/>
      <c r="T29" s="296">
        <f>'Pricing Details'!B33</f>
        <v>0</v>
      </c>
      <c r="U29" s="193" t="str">
        <f>'Pricing Details'!E33</f>
        <v/>
      </c>
      <c r="V29" s="192">
        <f>'Pricing Details'!G33</f>
        <v>0</v>
      </c>
      <c r="W29" s="192">
        <f>'Pricing Details'!H33</f>
        <v>0</v>
      </c>
      <c r="X29" s="192">
        <f>'Pricing Details'!I33</f>
        <v>0</v>
      </c>
      <c r="Y29" s="192">
        <f>'Pricing Details'!J33</f>
        <v>0</v>
      </c>
      <c r="Z29" s="192">
        <f>'Pricing Details'!K33</f>
        <v>0</v>
      </c>
      <c r="AA29" s="192">
        <f>'Pricing Details'!L33</f>
        <v>0</v>
      </c>
      <c r="AB29" s="192">
        <f>'Pricing Details'!M33</f>
        <v>0</v>
      </c>
      <c r="AC29" s="192">
        <f>'Pricing Details'!N33</f>
        <v>0</v>
      </c>
      <c r="AD29" s="192">
        <f>'Pricing Details'!O33</f>
        <v>0</v>
      </c>
      <c r="AE29" s="192">
        <f>'Pricing Details'!P33</f>
        <v>0</v>
      </c>
      <c r="AF29" s="192">
        <f>'Pricing Details'!Q33</f>
        <v>0</v>
      </c>
      <c r="AG29" s="192">
        <f>'Pricing Details'!R33</f>
        <v>0</v>
      </c>
      <c r="AH29" s="192">
        <f>'Pricing Details'!S33</f>
        <v>0</v>
      </c>
      <c r="AI29" s="192">
        <f>'Pricing Details'!T33</f>
        <v>0</v>
      </c>
      <c r="AJ29" s="192">
        <f>'Pricing Details'!U33</f>
        <v>0</v>
      </c>
      <c r="AK29" s="192">
        <f>'Pricing Details'!V33</f>
        <v>0</v>
      </c>
      <c r="AL29" s="192">
        <f>'Pricing Details'!W33</f>
        <v>0</v>
      </c>
      <c r="AM29" s="192">
        <f>'Pricing Details'!X33</f>
        <v>0</v>
      </c>
      <c r="AN29" s="192">
        <f>'Pricing Details'!Y33</f>
        <v>0</v>
      </c>
      <c r="AO29" s="192">
        <f>'Pricing Details'!Z33</f>
        <v>0</v>
      </c>
      <c r="AP29" s="192">
        <f>'Pricing Details'!AA33</f>
        <v>0</v>
      </c>
      <c r="AQ29" s="192">
        <f>'Pricing Details'!AB33</f>
        <v>0</v>
      </c>
      <c r="AR29" s="192">
        <f>'Pricing Details'!AC33</f>
        <v>0</v>
      </c>
      <c r="AS29" s="192">
        <f>'Pricing Details'!AD33</f>
        <v>0</v>
      </c>
      <c r="AT29" s="192">
        <f>'Pricing Details'!AE33</f>
        <v>0</v>
      </c>
      <c r="AU29" s="192">
        <f>'Pricing Details'!AF33</f>
        <v>0</v>
      </c>
      <c r="AV29" s="192">
        <f>'Pricing Details'!AG33</f>
        <v>0</v>
      </c>
      <c r="AW29" s="192">
        <f>'Pricing Details'!AH33</f>
        <v>0</v>
      </c>
      <c r="AX29" s="192">
        <f>'Pricing Details'!AI33</f>
        <v>0</v>
      </c>
      <c r="AY29" s="192">
        <f>'Pricing Details'!AJ33</f>
        <v>0</v>
      </c>
      <c r="AZ29" s="192">
        <f>'Pricing Details'!AK33</f>
        <v>0</v>
      </c>
      <c r="BA29" s="192">
        <f>'Pricing Details'!AL33</f>
        <v>0</v>
      </c>
      <c r="BB29" s="192">
        <f>'Pricing Details'!AM33</f>
        <v>0</v>
      </c>
      <c r="BC29" s="192">
        <f>'Pricing Details'!AN33</f>
        <v>0</v>
      </c>
      <c r="BD29" s="192">
        <f>'Pricing Details'!AO33</f>
        <v>0</v>
      </c>
      <c r="BE29" s="293">
        <f>'Pricing Details'!AP33</f>
        <v>0</v>
      </c>
      <c r="BF29" s="16"/>
      <c r="BG29" s="16"/>
      <c r="BH29" s="16"/>
    </row>
    <row r="30" spans="1:60" x14ac:dyDescent="0.25">
      <c r="A30" s="340" t="s">
        <v>185</v>
      </c>
      <c r="B30" s="74" t="s">
        <v>186</v>
      </c>
      <c r="C30" s="16"/>
      <c r="D30" s="353"/>
      <c r="E30" s="16"/>
      <c r="F30" s="76">
        <f>'Pricing Details'!B34</f>
        <v>0</v>
      </c>
      <c r="G30" s="77" t="str">
        <f>'Pricing Details'!E34</f>
        <v/>
      </c>
      <c r="H30" s="78">
        <f>'Pricing Details'!AR34</f>
        <v>0</v>
      </c>
      <c r="I30" s="79">
        <f>'Pricing Details'!F34</f>
        <v>0</v>
      </c>
      <c r="J30" s="80">
        <f>'Pricing Details'!AV34</f>
        <v>0</v>
      </c>
      <c r="K30" s="82">
        <f>'Pricing Details'!AU34</f>
        <v>0</v>
      </c>
      <c r="L30" s="16"/>
      <c r="M30" s="76">
        <f>'Pricing Details'!B34</f>
        <v>0</v>
      </c>
      <c r="N30" s="77" t="str">
        <f>'Pricing Details'!E34</f>
        <v/>
      </c>
      <c r="O30" s="81">
        <f>'Pricing Details'!G34</f>
        <v>0</v>
      </c>
      <c r="P30" s="79">
        <f>'Pricing Details'!F34</f>
        <v>0</v>
      </c>
      <c r="Q30" s="80">
        <f>'Pricing Details'!AV34</f>
        <v>0</v>
      </c>
      <c r="R30" s="80">
        <f t="shared" si="1"/>
        <v>0</v>
      </c>
      <c r="S30" s="16"/>
      <c r="T30" s="296">
        <f>'Pricing Details'!B34</f>
        <v>0</v>
      </c>
      <c r="U30" s="193" t="str">
        <f>'Pricing Details'!E34</f>
        <v/>
      </c>
      <c r="V30" s="192">
        <f>'Pricing Details'!G34</f>
        <v>0</v>
      </c>
      <c r="W30" s="192">
        <f>'Pricing Details'!H34</f>
        <v>0</v>
      </c>
      <c r="X30" s="192">
        <f>'Pricing Details'!I34</f>
        <v>0</v>
      </c>
      <c r="Y30" s="192">
        <f>'Pricing Details'!J34</f>
        <v>0</v>
      </c>
      <c r="Z30" s="192">
        <f>'Pricing Details'!K34</f>
        <v>0</v>
      </c>
      <c r="AA30" s="192">
        <f>'Pricing Details'!L34</f>
        <v>0</v>
      </c>
      <c r="AB30" s="192">
        <f>'Pricing Details'!M34</f>
        <v>0</v>
      </c>
      <c r="AC30" s="192">
        <f>'Pricing Details'!N34</f>
        <v>0</v>
      </c>
      <c r="AD30" s="192">
        <f>'Pricing Details'!O34</f>
        <v>0</v>
      </c>
      <c r="AE30" s="192">
        <f>'Pricing Details'!P34</f>
        <v>0</v>
      </c>
      <c r="AF30" s="192">
        <f>'Pricing Details'!Q34</f>
        <v>0</v>
      </c>
      <c r="AG30" s="192">
        <f>'Pricing Details'!R34</f>
        <v>0</v>
      </c>
      <c r="AH30" s="192">
        <f>'Pricing Details'!S34</f>
        <v>0</v>
      </c>
      <c r="AI30" s="192">
        <f>'Pricing Details'!T34</f>
        <v>0</v>
      </c>
      <c r="AJ30" s="192">
        <f>'Pricing Details'!U34</f>
        <v>0</v>
      </c>
      <c r="AK30" s="192">
        <f>'Pricing Details'!V34</f>
        <v>0</v>
      </c>
      <c r="AL30" s="192">
        <f>'Pricing Details'!W34</f>
        <v>0</v>
      </c>
      <c r="AM30" s="192">
        <f>'Pricing Details'!X34</f>
        <v>0</v>
      </c>
      <c r="AN30" s="192">
        <f>'Pricing Details'!Y34</f>
        <v>0</v>
      </c>
      <c r="AO30" s="192">
        <f>'Pricing Details'!Z34</f>
        <v>0</v>
      </c>
      <c r="AP30" s="192">
        <f>'Pricing Details'!AA34</f>
        <v>0</v>
      </c>
      <c r="AQ30" s="192">
        <f>'Pricing Details'!AB34</f>
        <v>0</v>
      </c>
      <c r="AR30" s="192">
        <f>'Pricing Details'!AC34</f>
        <v>0</v>
      </c>
      <c r="AS30" s="192">
        <f>'Pricing Details'!AD34</f>
        <v>0</v>
      </c>
      <c r="AT30" s="192">
        <f>'Pricing Details'!AE34</f>
        <v>0</v>
      </c>
      <c r="AU30" s="192">
        <f>'Pricing Details'!AF34</f>
        <v>0</v>
      </c>
      <c r="AV30" s="192">
        <f>'Pricing Details'!AG34</f>
        <v>0</v>
      </c>
      <c r="AW30" s="192">
        <f>'Pricing Details'!AH34</f>
        <v>0</v>
      </c>
      <c r="AX30" s="192">
        <f>'Pricing Details'!AI34</f>
        <v>0</v>
      </c>
      <c r="AY30" s="192">
        <f>'Pricing Details'!AJ34</f>
        <v>0</v>
      </c>
      <c r="AZ30" s="192">
        <f>'Pricing Details'!AK34</f>
        <v>0</v>
      </c>
      <c r="BA30" s="192">
        <f>'Pricing Details'!AL34</f>
        <v>0</v>
      </c>
      <c r="BB30" s="192">
        <f>'Pricing Details'!AM34</f>
        <v>0</v>
      </c>
      <c r="BC30" s="192">
        <f>'Pricing Details'!AN34</f>
        <v>0</v>
      </c>
      <c r="BD30" s="192">
        <f>'Pricing Details'!AO34</f>
        <v>0</v>
      </c>
      <c r="BE30" s="293">
        <f>'Pricing Details'!AP34</f>
        <v>0</v>
      </c>
      <c r="BF30" s="16"/>
      <c r="BG30" s="16"/>
      <c r="BH30" s="16"/>
    </row>
    <row r="31" spans="1:60" x14ac:dyDescent="0.25">
      <c r="A31" s="342" t="s">
        <v>187</v>
      </c>
      <c r="B31" s="286">
        <v>4000</v>
      </c>
      <c r="C31" s="16"/>
      <c r="D31" s="353"/>
      <c r="E31" s="16"/>
      <c r="F31" s="76">
        <f>'Pricing Details'!B35</f>
        <v>0</v>
      </c>
      <c r="G31" s="77" t="str">
        <f>'Pricing Details'!E35</f>
        <v/>
      </c>
      <c r="H31" s="78">
        <f>'Pricing Details'!AR35</f>
        <v>0</v>
      </c>
      <c r="I31" s="79">
        <f>'Pricing Details'!F35</f>
        <v>0</v>
      </c>
      <c r="J31" s="80">
        <f>'Pricing Details'!AV35</f>
        <v>0</v>
      </c>
      <c r="K31" s="82">
        <f>'Pricing Details'!AU35</f>
        <v>0</v>
      </c>
      <c r="L31" s="16"/>
      <c r="M31" s="76">
        <f>'Pricing Details'!B35</f>
        <v>0</v>
      </c>
      <c r="N31" s="77" t="str">
        <f>'Pricing Details'!E35</f>
        <v/>
      </c>
      <c r="O31" s="81">
        <f>'Pricing Details'!G35</f>
        <v>0</v>
      </c>
      <c r="P31" s="79">
        <f>'Pricing Details'!F35</f>
        <v>0</v>
      </c>
      <c r="Q31" s="80">
        <f>'Pricing Details'!AV35</f>
        <v>0</v>
      </c>
      <c r="R31" s="80">
        <f t="shared" si="1"/>
        <v>0</v>
      </c>
      <c r="S31" s="16"/>
      <c r="T31" s="296">
        <f>'Pricing Details'!B35</f>
        <v>0</v>
      </c>
      <c r="U31" s="193" t="str">
        <f>'Pricing Details'!E35</f>
        <v/>
      </c>
      <c r="V31" s="192">
        <f>'Pricing Details'!G35</f>
        <v>0</v>
      </c>
      <c r="W31" s="192">
        <f>'Pricing Details'!H35</f>
        <v>0</v>
      </c>
      <c r="X31" s="192">
        <f>'Pricing Details'!I35</f>
        <v>0</v>
      </c>
      <c r="Y31" s="192">
        <f>'Pricing Details'!J35</f>
        <v>0</v>
      </c>
      <c r="Z31" s="192">
        <f>'Pricing Details'!K35</f>
        <v>0</v>
      </c>
      <c r="AA31" s="192">
        <f>'Pricing Details'!L35</f>
        <v>0</v>
      </c>
      <c r="AB31" s="192">
        <f>'Pricing Details'!M35</f>
        <v>0</v>
      </c>
      <c r="AC31" s="192">
        <f>'Pricing Details'!N35</f>
        <v>0</v>
      </c>
      <c r="AD31" s="192">
        <f>'Pricing Details'!O35</f>
        <v>0</v>
      </c>
      <c r="AE31" s="192">
        <f>'Pricing Details'!P35</f>
        <v>0</v>
      </c>
      <c r="AF31" s="192">
        <f>'Pricing Details'!Q35</f>
        <v>0</v>
      </c>
      <c r="AG31" s="192">
        <f>'Pricing Details'!R35</f>
        <v>0</v>
      </c>
      <c r="AH31" s="192">
        <f>'Pricing Details'!S35</f>
        <v>0</v>
      </c>
      <c r="AI31" s="192">
        <f>'Pricing Details'!T35</f>
        <v>0</v>
      </c>
      <c r="AJ31" s="192">
        <f>'Pricing Details'!U35</f>
        <v>0</v>
      </c>
      <c r="AK31" s="192">
        <f>'Pricing Details'!V35</f>
        <v>0</v>
      </c>
      <c r="AL31" s="192">
        <f>'Pricing Details'!W35</f>
        <v>0</v>
      </c>
      <c r="AM31" s="192">
        <f>'Pricing Details'!X35</f>
        <v>0</v>
      </c>
      <c r="AN31" s="192">
        <f>'Pricing Details'!Y35</f>
        <v>0</v>
      </c>
      <c r="AO31" s="192">
        <f>'Pricing Details'!Z35</f>
        <v>0</v>
      </c>
      <c r="AP31" s="192">
        <f>'Pricing Details'!AA35</f>
        <v>0</v>
      </c>
      <c r="AQ31" s="192">
        <f>'Pricing Details'!AB35</f>
        <v>0</v>
      </c>
      <c r="AR31" s="192">
        <f>'Pricing Details'!AC35</f>
        <v>0</v>
      </c>
      <c r="AS31" s="192">
        <f>'Pricing Details'!AD35</f>
        <v>0</v>
      </c>
      <c r="AT31" s="192">
        <f>'Pricing Details'!AE35</f>
        <v>0</v>
      </c>
      <c r="AU31" s="192">
        <f>'Pricing Details'!AF35</f>
        <v>0</v>
      </c>
      <c r="AV31" s="192">
        <f>'Pricing Details'!AG35</f>
        <v>0</v>
      </c>
      <c r="AW31" s="192">
        <f>'Pricing Details'!AH35</f>
        <v>0</v>
      </c>
      <c r="AX31" s="192">
        <f>'Pricing Details'!AI35</f>
        <v>0</v>
      </c>
      <c r="AY31" s="192">
        <f>'Pricing Details'!AJ35</f>
        <v>0</v>
      </c>
      <c r="AZ31" s="192">
        <f>'Pricing Details'!AK35</f>
        <v>0</v>
      </c>
      <c r="BA31" s="192">
        <f>'Pricing Details'!AL35</f>
        <v>0</v>
      </c>
      <c r="BB31" s="192">
        <f>'Pricing Details'!AM35</f>
        <v>0</v>
      </c>
      <c r="BC31" s="192">
        <f>'Pricing Details'!AN35</f>
        <v>0</v>
      </c>
      <c r="BD31" s="192">
        <f>'Pricing Details'!AO35</f>
        <v>0</v>
      </c>
      <c r="BE31" s="293">
        <f>'Pricing Details'!AP35</f>
        <v>0</v>
      </c>
      <c r="BF31" s="16"/>
      <c r="BG31" s="16"/>
      <c r="BH31" s="16"/>
    </row>
    <row r="32" spans="1:60" ht="15.75" thickBot="1" x14ac:dyDescent="0.3">
      <c r="A32" s="343" t="s">
        <v>188</v>
      </c>
      <c r="B32" s="354">
        <v>4000</v>
      </c>
      <c r="C32" s="355"/>
      <c r="D32" s="356"/>
      <c r="E32" s="16"/>
      <c r="F32" s="76">
        <f>'Pricing Details'!B36</f>
        <v>0</v>
      </c>
      <c r="G32" s="77" t="str">
        <f>'Pricing Details'!E36</f>
        <v/>
      </c>
      <c r="H32" s="78">
        <f>'Pricing Details'!AR36</f>
        <v>0</v>
      </c>
      <c r="I32" s="79">
        <f>'Pricing Details'!F36</f>
        <v>0</v>
      </c>
      <c r="J32" s="80">
        <f>'Pricing Details'!AV36</f>
        <v>0</v>
      </c>
      <c r="K32" s="82">
        <f>'Pricing Details'!AU36</f>
        <v>0</v>
      </c>
      <c r="L32" s="16"/>
      <c r="M32" s="76">
        <f>'Pricing Details'!B36</f>
        <v>0</v>
      </c>
      <c r="N32" s="77" t="str">
        <f>'Pricing Details'!E36</f>
        <v/>
      </c>
      <c r="O32" s="81">
        <f>'Pricing Details'!G36</f>
        <v>0</v>
      </c>
      <c r="P32" s="79">
        <f>'Pricing Details'!F36</f>
        <v>0</v>
      </c>
      <c r="Q32" s="80">
        <f>'Pricing Details'!AV36</f>
        <v>0</v>
      </c>
      <c r="R32" s="80">
        <f t="shared" si="1"/>
        <v>0</v>
      </c>
      <c r="S32" s="16"/>
      <c r="T32" s="296">
        <f>'Pricing Details'!B36</f>
        <v>0</v>
      </c>
      <c r="U32" s="193" t="str">
        <f>'Pricing Details'!E36</f>
        <v/>
      </c>
      <c r="V32" s="192">
        <f>'Pricing Details'!G36</f>
        <v>0</v>
      </c>
      <c r="W32" s="192">
        <f>'Pricing Details'!H36</f>
        <v>0</v>
      </c>
      <c r="X32" s="192">
        <f>'Pricing Details'!I36</f>
        <v>0</v>
      </c>
      <c r="Y32" s="192">
        <f>'Pricing Details'!J36</f>
        <v>0</v>
      </c>
      <c r="Z32" s="192">
        <f>'Pricing Details'!K36</f>
        <v>0</v>
      </c>
      <c r="AA32" s="192">
        <f>'Pricing Details'!L36</f>
        <v>0</v>
      </c>
      <c r="AB32" s="192">
        <f>'Pricing Details'!M36</f>
        <v>0</v>
      </c>
      <c r="AC32" s="192">
        <f>'Pricing Details'!N36</f>
        <v>0</v>
      </c>
      <c r="AD32" s="192">
        <f>'Pricing Details'!O36</f>
        <v>0</v>
      </c>
      <c r="AE32" s="192">
        <f>'Pricing Details'!P36</f>
        <v>0</v>
      </c>
      <c r="AF32" s="192">
        <f>'Pricing Details'!Q36</f>
        <v>0</v>
      </c>
      <c r="AG32" s="192">
        <f>'Pricing Details'!R36</f>
        <v>0</v>
      </c>
      <c r="AH32" s="192">
        <f>'Pricing Details'!S36</f>
        <v>0</v>
      </c>
      <c r="AI32" s="192">
        <f>'Pricing Details'!T36</f>
        <v>0</v>
      </c>
      <c r="AJ32" s="192">
        <f>'Pricing Details'!U36</f>
        <v>0</v>
      </c>
      <c r="AK32" s="192">
        <f>'Pricing Details'!V36</f>
        <v>0</v>
      </c>
      <c r="AL32" s="192">
        <f>'Pricing Details'!W36</f>
        <v>0</v>
      </c>
      <c r="AM32" s="192">
        <f>'Pricing Details'!X36</f>
        <v>0</v>
      </c>
      <c r="AN32" s="192">
        <f>'Pricing Details'!Y36</f>
        <v>0</v>
      </c>
      <c r="AO32" s="192">
        <f>'Pricing Details'!Z36</f>
        <v>0</v>
      </c>
      <c r="AP32" s="192">
        <f>'Pricing Details'!AA36</f>
        <v>0</v>
      </c>
      <c r="AQ32" s="192">
        <f>'Pricing Details'!AB36</f>
        <v>0</v>
      </c>
      <c r="AR32" s="192">
        <f>'Pricing Details'!AC36</f>
        <v>0</v>
      </c>
      <c r="AS32" s="192">
        <f>'Pricing Details'!AD36</f>
        <v>0</v>
      </c>
      <c r="AT32" s="192">
        <f>'Pricing Details'!AE36</f>
        <v>0</v>
      </c>
      <c r="AU32" s="192">
        <f>'Pricing Details'!AF36</f>
        <v>0</v>
      </c>
      <c r="AV32" s="192">
        <f>'Pricing Details'!AG36</f>
        <v>0</v>
      </c>
      <c r="AW32" s="192">
        <f>'Pricing Details'!AH36</f>
        <v>0</v>
      </c>
      <c r="AX32" s="192">
        <f>'Pricing Details'!AI36</f>
        <v>0</v>
      </c>
      <c r="AY32" s="192">
        <f>'Pricing Details'!AJ36</f>
        <v>0</v>
      </c>
      <c r="AZ32" s="192">
        <f>'Pricing Details'!AK36</f>
        <v>0</v>
      </c>
      <c r="BA32" s="192">
        <f>'Pricing Details'!AL36</f>
        <v>0</v>
      </c>
      <c r="BB32" s="192">
        <f>'Pricing Details'!AM36</f>
        <v>0</v>
      </c>
      <c r="BC32" s="192">
        <f>'Pricing Details'!AN36</f>
        <v>0</v>
      </c>
      <c r="BD32" s="192">
        <f>'Pricing Details'!AO36</f>
        <v>0</v>
      </c>
      <c r="BE32" s="293">
        <f>'Pricing Details'!AP36</f>
        <v>0</v>
      </c>
      <c r="BF32" s="16"/>
      <c r="BG32" s="16"/>
      <c r="BH32" s="16"/>
    </row>
    <row r="33" spans="1:60" x14ac:dyDescent="0.25">
      <c r="A33" s="83"/>
      <c r="B33" s="261"/>
      <c r="C33" s="16"/>
      <c r="D33" s="16"/>
      <c r="E33" s="16"/>
      <c r="F33" s="76">
        <f>'Pricing Details'!B37</f>
        <v>0</v>
      </c>
      <c r="G33" s="77" t="str">
        <f>'Pricing Details'!E37</f>
        <v/>
      </c>
      <c r="H33" s="78">
        <f>'Pricing Details'!AR37</f>
        <v>0</v>
      </c>
      <c r="I33" s="79">
        <f>'Pricing Details'!F37</f>
        <v>0</v>
      </c>
      <c r="J33" s="80">
        <f>'Pricing Details'!AV37</f>
        <v>0</v>
      </c>
      <c r="K33" s="82">
        <f>'Pricing Details'!AU37</f>
        <v>0</v>
      </c>
      <c r="L33" s="16"/>
      <c r="M33" s="76">
        <f>'Pricing Details'!B37</f>
        <v>0</v>
      </c>
      <c r="N33" s="77" t="str">
        <f>'Pricing Details'!E37</f>
        <v/>
      </c>
      <c r="O33" s="81">
        <f>'Pricing Details'!G37</f>
        <v>0</v>
      </c>
      <c r="P33" s="79">
        <f>'Pricing Details'!F37</f>
        <v>0</v>
      </c>
      <c r="Q33" s="80">
        <f>'Pricing Details'!AV37</f>
        <v>0</v>
      </c>
      <c r="R33" s="80">
        <f t="shared" si="1"/>
        <v>0</v>
      </c>
      <c r="S33" s="16"/>
      <c r="T33" s="296">
        <f>'Pricing Details'!B37</f>
        <v>0</v>
      </c>
      <c r="U33" s="193" t="str">
        <f>'Pricing Details'!E37</f>
        <v/>
      </c>
      <c r="V33" s="192">
        <f>'Pricing Details'!G37</f>
        <v>0</v>
      </c>
      <c r="W33" s="192">
        <f>'Pricing Details'!H37</f>
        <v>0</v>
      </c>
      <c r="X33" s="192">
        <f>'Pricing Details'!I37</f>
        <v>0</v>
      </c>
      <c r="Y33" s="192">
        <f>'Pricing Details'!J37</f>
        <v>0</v>
      </c>
      <c r="Z33" s="192">
        <f>'Pricing Details'!K37</f>
        <v>0</v>
      </c>
      <c r="AA33" s="192">
        <f>'Pricing Details'!L37</f>
        <v>0</v>
      </c>
      <c r="AB33" s="192">
        <f>'Pricing Details'!M37</f>
        <v>0</v>
      </c>
      <c r="AC33" s="192">
        <f>'Pricing Details'!N37</f>
        <v>0</v>
      </c>
      <c r="AD33" s="192">
        <f>'Pricing Details'!O37</f>
        <v>0</v>
      </c>
      <c r="AE33" s="192">
        <f>'Pricing Details'!P37</f>
        <v>0</v>
      </c>
      <c r="AF33" s="192">
        <f>'Pricing Details'!Q37</f>
        <v>0</v>
      </c>
      <c r="AG33" s="192">
        <f>'Pricing Details'!R37</f>
        <v>0</v>
      </c>
      <c r="AH33" s="192">
        <f>'Pricing Details'!S37</f>
        <v>0</v>
      </c>
      <c r="AI33" s="192">
        <f>'Pricing Details'!T37</f>
        <v>0</v>
      </c>
      <c r="AJ33" s="192">
        <f>'Pricing Details'!U37</f>
        <v>0</v>
      </c>
      <c r="AK33" s="192">
        <f>'Pricing Details'!V37</f>
        <v>0</v>
      </c>
      <c r="AL33" s="192">
        <f>'Pricing Details'!W37</f>
        <v>0</v>
      </c>
      <c r="AM33" s="192">
        <f>'Pricing Details'!X37</f>
        <v>0</v>
      </c>
      <c r="AN33" s="192">
        <f>'Pricing Details'!Y37</f>
        <v>0</v>
      </c>
      <c r="AO33" s="192">
        <f>'Pricing Details'!Z37</f>
        <v>0</v>
      </c>
      <c r="AP33" s="192">
        <f>'Pricing Details'!AA37</f>
        <v>0</v>
      </c>
      <c r="AQ33" s="192">
        <f>'Pricing Details'!AB37</f>
        <v>0</v>
      </c>
      <c r="AR33" s="192">
        <f>'Pricing Details'!AC37</f>
        <v>0</v>
      </c>
      <c r="AS33" s="192">
        <f>'Pricing Details'!AD37</f>
        <v>0</v>
      </c>
      <c r="AT33" s="192">
        <f>'Pricing Details'!AE37</f>
        <v>0</v>
      </c>
      <c r="AU33" s="192">
        <f>'Pricing Details'!AF37</f>
        <v>0</v>
      </c>
      <c r="AV33" s="192">
        <f>'Pricing Details'!AG37</f>
        <v>0</v>
      </c>
      <c r="AW33" s="192">
        <f>'Pricing Details'!AH37</f>
        <v>0</v>
      </c>
      <c r="AX33" s="192">
        <f>'Pricing Details'!AI37</f>
        <v>0</v>
      </c>
      <c r="AY33" s="192">
        <f>'Pricing Details'!AJ37</f>
        <v>0</v>
      </c>
      <c r="AZ33" s="192">
        <f>'Pricing Details'!AK37</f>
        <v>0</v>
      </c>
      <c r="BA33" s="192">
        <f>'Pricing Details'!AL37</f>
        <v>0</v>
      </c>
      <c r="BB33" s="192">
        <f>'Pricing Details'!AM37</f>
        <v>0</v>
      </c>
      <c r="BC33" s="192">
        <f>'Pricing Details'!AN37</f>
        <v>0</v>
      </c>
      <c r="BD33" s="192">
        <f>'Pricing Details'!AO37</f>
        <v>0</v>
      </c>
      <c r="BE33" s="293">
        <f>'Pricing Details'!AP37</f>
        <v>0</v>
      </c>
      <c r="BF33" s="16"/>
      <c r="BG33" s="16"/>
      <c r="BH33" s="16"/>
    </row>
    <row r="34" spans="1:60" x14ac:dyDescent="0.25">
      <c r="A34" s="83"/>
      <c r="B34" s="261"/>
      <c r="C34" s="16"/>
      <c r="D34" s="16"/>
      <c r="E34" s="16"/>
      <c r="F34" s="76">
        <f>'Pricing Details'!B38</f>
        <v>0</v>
      </c>
      <c r="G34" s="77" t="str">
        <f>'Pricing Details'!E38</f>
        <v/>
      </c>
      <c r="H34" s="78">
        <f>'Pricing Details'!AR38</f>
        <v>0</v>
      </c>
      <c r="I34" s="79">
        <f>'Pricing Details'!F38</f>
        <v>0</v>
      </c>
      <c r="J34" s="80">
        <f>'Pricing Details'!AV38</f>
        <v>0</v>
      </c>
      <c r="K34" s="82">
        <f>'Pricing Details'!AU38</f>
        <v>0</v>
      </c>
      <c r="L34" s="16"/>
      <c r="M34" s="76">
        <f>'Pricing Details'!B38</f>
        <v>0</v>
      </c>
      <c r="N34" s="77" t="str">
        <f>'Pricing Details'!E38</f>
        <v/>
      </c>
      <c r="O34" s="81">
        <f>'Pricing Details'!G38</f>
        <v>0</v>
      </c>
      <c r="P34" s="79">
        <f>'Pricing Details'!F38</f>
        <v>0</v>
      </c>
      <c r="Q34" s="80">
        <f>'Pricing Details'!AV38</f>
        <v>0</v>
      </c>
      <c r="R34" s="80">
        <f t="shared" si="1"/>
        <v>0</v>
      </c>
      <c r="S34" s="16"/>
      <c r="T34" s="296">
        <f>'Pricing Details'!B38</f>
        <v>0</v>
      </c>
      <c r="U34" s="193" t="str">
        <f>'Pricing Details'!E38</f>
        <v/>
      </c>
      <c r="V34" s="192">
        <f>'Pricing Details'!G38</f>
        <v>0</v>
      </c>
      <c r="W34" s="192">
        <f>'Pricing Details'!H38</f>
        <v>0</v>
      </c>
      <c r="X34" s="192">
        <f>'Pricing Details'!I38</f>
        <v>0</v>
      </c>
      <c r="Y34" s="192">
        <f>'Pricing Details'!J38</f>
        <v>0</v>
      </c>
      <c r="Z34" s="192">
        <f>'Pricing Details'!K38</f>
        <v>0</v>
      </c>
      <c r="AA34" s="192">
        <f>'Pricing Details'!L38</f>
        <v>0</v>
      </c>
      <c r="AB34" s="192">
        <f>'Pricing Details'!M38</f>
        <v>0</v>
      </c>
      <c r="AC34" s="192">
        <f>'Pricing Details'!N38</f>
        <v>0</v>
      </c>
      <c r="AD34" s="192">
        <f>'Pricing Details'!O38</f>
        <v>0</v>
      </c>
      <c r="AE34" s="192">
        <f>'Pricing Details'!P38</f>
        <v>0</v>
      </c>
      <c r="AF34" s="192">
        <f>'Pricing Details'!Q38</f>
        <v>0</v>
      </c>
      <c r="AG34" s="192">
        <f>'Pricing Details'!R38</f>
        <v>0</v>
      </c>
      <c r="AH34" s="192">
        <f>'Pricing Details'!S38</f>
        <v>0</v>
      </c>
      <c r="AI34" s="192">
        <f>'Pricing Details'!T38</f>
        <v>0</v>
      </c>
      <c r="AJ34" s="192">
        <f>'Pricing Details'!U38</f>
        <v>0</v>
      </c>
      <c r="AK34" s="192">
        <f>'Pricing Details'!V38</f>
        <v>0</v>
      </c>
      <c r="AL34" s="192">
        <f>'Pricing Details'!W38</f>
        <v>0</v>
      </c>
      <c r="AM34" s="192">
        <f>'Pricing Details'!X38</f>
        <v>0</v>
      </c>
      <c r="AN34" s="192">
        <f>'Pricing Details'!Y38</f>
        <v>0</v>
      </c>
      <c r="AO34" s="192">
        <f>'Pricing Details'!Z38</f>
        <v>0</v>
      </c>
      <c r="AP34" s="192">
        <f>'Pricing Details'!AA38</f>
        <v>0</v>
      </c>
      <c r="AQ34" s="192">
        <f>'Pricing Details'!AB38</f>
        <v>0</v>
      </c>
      <c r="AR34" s="192">
        <f>'Pricing Details'!AC38</f>
        <v>0</v>
      </c>
      <c r="AS34" s="192">
        <f>'Pricing Details'!AD38</f>
        <v>0</v>
      </c>
      <c r="AT34" s="192">
        <f>'Pricing Details'!AE38</f>
        <v>0</v>
      </c>
      <c r="AU34" s="192">
        <f>'Pricing Details'!AF38</f>
        <v>0</v>
      </c>
      <c r="AV34" s="192">
        <f>'Pricing Details'!AG38</f>
        <v>0</v>
      </c>
      <c r="AW34" s="192">
        <f>'Pricing Details'!AH38</f>
        <v>0</v>
      </c>
      <c r="AX34" s="192">
        <f>'Pricing Details'!AI38</f>
        <v>0</v>
      </c>
      <c r="AY34" s="192">
        <f>'Pricing Details'!AJ38</f>
        <v>0</v>
      </c>
      <c r="AZ34" s="192">
        <f>'Pricing Details'!AK38</f>
        <v>0</v>
      </c>
      <c r="BA34" s="192">
        <f>'Pricing Details'!AL38</f>
        <v>0</v>
      </c>
      <c r="BB34" s="192">
        <f>'Pricing Details'!AM38</f>
        <v>0</v>
      </c>
      <c r="BC34" s="192">
        <f>'Pricing Details'!AN38</f>
        <v>0</v>
      </c>
      <c r="BD34" s="192">
        <f>'Pricing Details'!AO38</f>
        <v>0</v>
      </c>
      <c r="BE34" s="293">
        <f>'Pricing Details'!AP38</f>
        <v>0</v>
      </c>
      <c r="BF34" s="16"/>
      <c r="BG34" s="16"/>
      <c r="BH34" s="16"/>
    </row>
    <row r="35" spans="1:60" x14ac:dyDescent="0.25">
      <c r="A35" s="83"/>
      <c r="B35" s="261"/>
      <c r="C35" s="16"/>
      <c r="D35" s="16"/>
      <c r="E35" s="16"/>
      <c r="F35" s="76">
        <f>'Pricing Details'!B39</f>
        <v>0</v>
      </c>
      <c r="G35" s="77" t="str">
        <f>'Pricing Details'!E39</f>
        <v/>
      </c>
      <c r="H35" s="78">
        <f>'Pricing Details'!AR39</f>
        <v>0</v>
      </c>
      <c r="I35" s="79">
        <f>'Pricing Details'!F39</f>
        <v>0</v>
      </c>
      <c r="J35" s="80">
        <f>'Pricing Details'!AV39</f>
        <v>0</v>
      </c>
      <c r="K35" s="82">
        <f>'Pricing Details'!AU39</f>
        <v>0</v>
      </c>
      <c r="L35" s="16"/>
      <c r="M35" s="76">
        <f>'Pricing Details'!B39</f>
        <v>0</v>
      </c>
      <c r="N35" s="77" t="str">
        <f>'Pricing Details'!E39</f>
        <v/>
      </c>
      <c r="O35" s="81">
        <f>'Pricing Details'!G39</f>
        <v>0</v>
      </c>
      <c r="P35" s="79">
        <f>'Pricing Details'!F39</f>
        <v>0</v>
      </c>
      <c r="Q35" s="80">
        <f>'Pricing Details'!AV39</f>
        <v>0</v>
      </c>
      <c r="R35" s="80">
        <f t="shared" si="1"/>
        <v>0</v>
      </c>
      <c r="S35" s="16"/>
      <c r="T35" s="296">
        <f>'Pricing Details'!B39</f>
        <v>0</v>
      </c>
      <c r="U35" s="193" t="str">
        <f>'Pricing Details'!E39</f>
        <v/>
      </c>
      <c r="V35" s="192">
        <f>'Pricing Details'!G39</f>
        <v>0</v>
      </c>
      <c r="W35" s="192">
        <f>'Pricing Details'!H39</f>
        <v>0</v>
      </c>
      <c r="X35" s="192">
        <f>'Pricing Details'!I39</f>
        <v>0</v>
      </c>
      <c r="Y35" s="192">
        <f>'Pricing Details'!J39</f>
        <v>0</v>
      </c>
      <c r="Z35" s="192">
        <f>'Pricing Details'!K39</f>
        <v>0</v>
      </c>
      <c r="AA35" s="192">
        <f>'Pricing Details'!L39</f>
        <v>0</v>
      </c>
      <c r="AB35" s="192">
        <f>'Pricing Details'!M39</f>
        <v>0</v>
      </c>
      <c r="AC35" s="192">
        <f>'Pricing Details'!N39</f>
        <v>0</v>
      </c>
      <c r="AD35" s="192">
        <f>'Pricing Details'!O39</f>
        <v>0</v>
      </c>
      <c r="AE35" s="192">
        <f>'Pricing Details'!P39</f>
        <v>0</v>
      </c>
      <c r="AF35" s="192">
        <f>'Pricing Details'!Q39</f>
        <v>0</v>
      </c>
      <c r="AG35" s="192">
        <f>'Pricing Details'!R39</f>
        <v>0</v>
      </c>
      <c r="AH35" s="192">
        <f>'Pricing Details'!S39</f>
        <v>0</v>
      </c>
      <c r="AI35" s="192">
        <f>'Pricing Details'!T39</f>
        <v>0</v>
      </c>
      <c r="AJ35" s="192">
        <f>'Pricing Details'!U39</f>
        <v>0</v>
      </c>
      <c r="AK35" s="192">
        <f>'Pricing Details'!V39</f>
        <v>0</v>
      </c>
      <c r="AL35" s="192">
        <f>'Pricing Details'!W39</f>
        <v>0</v>
      </c>
      <c r="AM35" s="192">
        <f>'Pricing Details'!X39</f>
        <v>0</v>
      </c>
      <c r="AN35" s="192">
        <f>'Pricing Details'!Y39</f>
        <v>0</v>
      </c>
      <c r="AO35" s="192">
        <f>'Pricing Details'!Z39</f>
        <v>0</v>
      </c>
      <c r="AP35" s="192">
        <f>'Pricing Details'!AA39</f>
        <v>0</v>
      </c>
      <c r="AQ35" s="192">
        <f>'Pricing Details'!AB39</f>
        <v>0</v>
      </c>
      <c r="AR35" s="192">
        <f>'Pricing Details'!AC39</f>
        <v>0</v>
      </c>
      <c r="AS35" s="192">
        <f>'Pricing Details'!AD39</f>
        <v>0</v>
      </c>
      <c r="AT35" s="192">
        <f>'Pricing Details'!AE39</f>
        <v>0</v>
      </c>
      <c r="AU35" s="192">
        <f>'Pricing Details'!AF39</f>
        <v>0</v>
      </c>
      <c r="AV35" s="192">
        <f>'Pricing Details'!AG39</f>
        <v>0</v>
      </c>
      <c r="AW35" s="192">
        <f>'Pricing Details'!AH39</f>
        <v>0</v>
      </c>
      <c r="AX35" s="192">
        <f>'Pricing Details'!AI39</f>
        <v>0</v>
      </c>
      <c r="AY35" s="192">
        <f>'Pricing Details'!AJ39</f>
        <v>0</v>
      </c>
      <c r="AZ35" s="192">
        <f>'Pricing Details'!AK39</f>
        <v>0</v>
      </c>
      <c r="BA35" s="192">
        <f>'Pricing Details'!AL39</f>
        <v>0</v>
      </c>
      <c r="BB35" s="192">
        <f>'Pricing Details'!AM39</f>
        <v>0</v>
      </c>
      <c r="BC35" s="192">
        <f>'Pricing Details'!AN39</f>
        <v>0</v>
      </c>
      <c r="BD35" s="192">
        <f>'Pricing Details'!AO39</f>
        <v>0</v>
      </c>
      <c r="BE35" s="293">
        <f>'Pricing Details'!AP39</f>
        <v>0</v>
      </c>
      <c r="BF35" s="16"/>
      <c r="BG35" s="16"/>
      <c r="BH35" s="16"/>
    </row>
    <row r="36" spans="1:60" x14ac:dyDescent="0.25">
      <c r="A36" s="16"/>
      <c r="B36" s="16"/>
      <c r="C36" s="16"/>
      <c r="D36" s="16"/>
      <c r="E36" s="16"/>
      <c r="F36" s="76">
        <f>'Pricing Details'!B40</f>
        <v>0</v>
      </c>
      <c r="G36" s="77" t="str">
        <f>'Pricing Details'!E40</f>
        <v/>
      </c>
      <c r="H36" s="78">
        <f>'Pricing Details'!AR40</f>
        <v>0</v>
      </c>
      <c r="I36" s="79">
        <f>'Pricing Details'!F40</f>
        <v>0</v>
      </c>
      <c r="J36" s="80">
        <f>'Pricing Details'!AV40</f>
        <v>0</v>
      </c>
      <c r="K36" s="82">
        <f>'Pricing Details'!AU40</f>
        <v>0</v>
      </c>
      <c r="L36" s="16"/>
      <c r="M36" s="76">
        <f>'Pricing Details'!B40</f>
        <v>0</v>
      </c>
      <c r="N36" s="77" t="str">
        <f>'Pricing Details'!E40</f>
        <v/>
      </c>
      <c r="O36" s="81">
        <f>'Pricing Details'!G40</f>
        <v>0</v>
      </c>
      <c r="P36" s="79">
        <f>'Pricing Details'!F40</f>
        <v>0</v>
      </c>
      <c r="Q36" s="80">
        <f>'Pricing Details'!AV40</f>
        <v>0</v>
      </c>
      <c r="R36" s="80">
        <f t="shared" si="1"/>
        <v>0</v>
      </c>
      <c r="S36" s="16"/>
      <c r="T36" s="296">
        <f>'Pricing Details'!B40</f>
        <v>0</v>
      </c>
      <c r="U36" s="193" t="str">
        <f>'Pricing Details'!E40</f>
        <v/>
      </c>
      <c r="V36" s="192">
        <f>'Pricing Details'!G40</f>
        <v>0</v>
      </c>
      <c r="W36" s="192">
        <f>'Pricing Details'!H40</f>
        <v>0</v>
      </c>
      <c r="X36" s="192">
        <f>'Pricing Details'!I40</f>
        <v>0</v>
      </c>
      <c r="Y36" s="192">
        <f>'Pricing Details'!J40</f>
        <v>0</v>
      </c>
      <c r="Z36" s="192">
        <f>'Pricing Details'!K40</f>
        <v>0</v>
      </c>
      <c r="AA36" s="192">
        <f>'Pricing Details'!L40</f>
        <v>0</v>
      </c>
      <c r="AB36" s="192">
        <f>'Pricing Details'!M40</f>
        <v>0</v>
      </c>
      <c r="AC36" s="192">
        <f>'Pricing Details'!N40</f>
        <v>0</v>
      </c>
      <c r="AD36" s="192">
        <f>'Pricing Details'!O40</f>
        <v>0</v>
      </c>
      <c r="AE36" s="192">
        <f>'Pricing Details'!P40</f>
        <v>0</v>
      </c>
      <c r="AF36" s="192">
        <f>'Pricing Details'!Q40</f>
        <v>0</v>
      </c>
      <c r="AG36" s="192">
        <f>'Pricing Details'!R40</f>
        <v>0</v>
      </c>
      <c r="AH36" s="192">
        <f>'Pricing Details'!S40</f>
        <v>0</v>
      </c>
      <c r="AI36" s="192">
        <f>'Pricing Details'!T40</f>
        <v>0</v>
      </c>
      <c r="AJ36" s="192">
        <f>'Pricing Details'!U40</f>
        <v>0</v>
      </c>
      <c r="AK36" s="192">
        <f>'Pricing Details'!V40</f>
        <v>0</v>
      </c>
      <c r="AL36" s="192">
        <f>'Pricing Details'!W40</f>
        <v>0</v>
      </c>
      <c r="AM36" s="192">
        <f>'Pricing Details'!X40</f>
        <v>0</v>
      </c>
      <c r="AN36" s="192">
        <f>'Pricing Details'!Y40</f>
        <v>0</v>
      </c>
      <c r="AO36" s="192">
        <f>'Pricing Details'!Z40</f>
        <v>0</v>
      </c>
      <c r="AP36" s="192">
        <f>'Pricing Details'!AA40</f>
        <v>0</v>
      </c>
      <c r="AQ36" s="192">
        <f>'Pricing Details'!AB40</f>
        <v>0</v>
      </c>
      <c r="AR36" s="192">
        <f>'Pricing Details'!AC40</f>
        <v>0</v>
      </c>
      <c r="AS36" s="192">
        <f>'Pricing Details'!AD40</f>
        <v>0</v>
      </c>
      <c r="AT36" s="192">
        <f>'Pricing Details'!AE40</f>
        <v>0</v>
      </c>
      <c r="AU36" s="192">
        <f>'Pricing Details'!AF40</f>
        <v>0</v>
      </c>
      <c r="AV36" s="192">
        <f>'Pricing Details'!AG40</f>
        <v>0</v>
      </c>
      <c r="AW36" s="192">
        <f>'Pricing Details'!AH40</f>
        <v>0</v>
      </c>
      <c r="AX36" s="192">
        <f>'Pricing Details'!AI40</f>
        <v>0</v>
      </c>
      <c r="AY36" s="192">
        <f>'Pricing Details'!AJ40</f>
        <v>0</v>
      </c>
      <c r="AZ36" s="192">
        <f>'Pricing Details'!AK40</f>
        <v>0</v>
      </c>
      <c r="BA36" s="192">
        <f>'Pricing Details'!AL40</f>
        <v>0</v>
      </c>
      <c r="BB36" s="192">
        <f>'Pricing Details'!AM40</f>
        <v>0</v>
      </c>
      <c r="BC36" s="192">
        <f>'Pricing Details'!AN40</f>
        <v>0</v>
      </c>
      <c r="BD36" s="192">
        <f>'Pricing Details'!AO40</f>
        <v>0</v>
      </c>
      <c r="BE36" s="293">
        <f>'Pricing Details'!AP40</f>
        <v>0</v>
      </c>
      <c r="BF36" s="16"/>
      <c r="BG36" s="16"/>
      <c r="BH36" s="16"/>
    </row>
    <row r="37" spans="1:60" x14ac:dyDescent="0.25">
      <c r="A37" s="16"/>
      <c r="B37" s="16"/>
      <c r="C37" s="16"/>
      <c r="D37" s="16"/>
      <c r="E37" s="16"/>
      <c r="F37" s="76">
        <f>'Pricing Details'!B41</f>
        <v>0</v>
      </c>
      <c r="G37" s="77" t="str">
        <f>'Pricing Details'!E41</f>
        <v/>
      </c>
      <c r="H37" s="78">
        <f>'Pricing Details'!AR41</f>
        <v>0</v>
      </c>
      <c r="I37" s="79">
        <f>'Pricing Details'!F41</f>
        <v>0</v>
      </c>
      <c r="J37" s="80">
        <f>'Pricing Details'!AV41</f>
        <v>0</v>
      </c>
      <c r="K37" s="82">
        <f>'Pricing Details'!AU41</f>
        <v>0</v>
      </c>
      <c r="L37" s="16"/>
      <c r="M37" s="76">
        <f>'Pricing Details'!B41</f>
        <v>0</v>
      </c>
      <c r="N37" s="77" t="str">
        <f>'Pricing Details'!E41</f>
        <v/>
      </c>
      <c r="O37" s="81">
        <f>'Pricing Details'!G41</f>
        <v>0</v>
      </c>
      <c r="P37" s="79">
        <f>'Pricing Details'!F41</f>
        <v>0</v>
      </c>
      <c r="Q37" s="80">
        <f>'Pricing Details'!AV41</f>
        <v>0</v>
      </c>
      <c r="R37" s="80">
        <f t="shared" si="1"/>
        <v>0</v>
      </c>
      <c r="S37" s="16"/>
      <c r="T37" s="296">
        <f>'Pricing Details'!B41</f>
        <v>0</v>
      </c>
      <c r="U37" s="193" t="str">
        <f>'Pricing Details'!E41</f>
        <v/>
      </c>
      <c r="V37" s="192">
        <f>'Pricing Details'!G41</f>
        <v>0</v>
      </c>
      <c r="W37" s="192">
        <f>'Pricing Details'!H41</f>
        <v>0</v>
      </c>
      <c r="X37" s="192">
        <f>'Pricing Details'!I41</f>
        <v>0</v>
      </c>
      <c r="Y37" s="192">
        <f>'Pricing Details'!J41</f>
        <v>0</v>
      </c>
      <c r="Z37" s="192">
        <f>'Pricing Details'!K41</f>
        <v>0</v>
      </c>
      <c r="AA37" s="192">
        <f>'Pricing Details'!L41</f>
        <v>0</v>
      </c>
      <c r="AB37" s="192">
        <f>'Pricing Details'!M41</f>
        <v>0</v>
      </c>
      <c r="AC37" s="192">
        <f>'Pricing Details'!N41</f>
        <v>0</v>
      </c>
      <c r="AD37" s="192">
        <f>'Pricing Details'!O41</f>
        <v>0</v>
      </c>
      <c r="AE37" s="192">
        <f>'Pricing Details'!P41</f>
        <v>0</v>
      </c>
      <c r="AF37" s="192">
        <f>'Pricing Details'!Q41</f>
        <v>0</v>
      </c>
      <c r="AG37" s="192">
        <f>'Pricing Details'!R41</f>
        <v>0</v>
      </c>
      <c r="AH37" s="192">
        <f>'Pricing Details'!S41</f>
        <v>0</v>
      </c>
      <c r="AI37" s="192">
        <f>'Pricing Details'!T41</f>
        <v>0</v>
      </c>
      <c r="AJ37" s="192">
        <f>'Pricing Details'!U41</f>
        <v>0</v>
      </c>
      <c r="AK37" s="192">
        <f>'Pricing Details'!V41</f>
        <v>0</v>
      </c>
      <c r="AL37" s="192">
        <f>'Pricing Details'!W41</f>
        <v>0</v>
      </c>
      <c r="AM37" s="192">
        <f>'Pricing Details'!X41</f>
        <v>0</v>
      </c>
      <c r="AN37" s="192">
        <f>'Pricing Details'!Y41</f>
        <v>0</v>
      </c>
      <c r="AO37" s="192">
        <f>'Pricing Details'!Z41</f>
        <v>0</v>
      </c>
      <c r="AP37" s="192">
        <f>'Pricing Details'!AA41</f>
        <v>0</v>
      </c>
      <c r="AQ37" s="192">
        <f>'Pricing Details'!AB41</f>
        <v>0</v>
      </c>
      <c r="AR37" s="192">
        <f>'Pricing Details'!AC41</f>
        <v>0</v>
      </c>
      <c r="AS37" s="192">
        <f>'Pricing Details'!AD41</f>
        <v>0</v>
      </c>
      <c r="AT37" s="192">
        <f>'Pricing Details'!AE41</f>
        <v>0</v>
      </c>
      <c r="AU37" s="192">
        <f>'Pricing Details'!AF41</f>
        <v>0</v>
      </c>
      <c r="AV37" s="192">
        <f>'Pricing Details'!AG41</f>
        <v>0</v>
      </c>
      <c r="AW37" s="192">
        <f>'Pricing Details'!AH41</f>
        <v>0</v>
      </c>
      <c r="AX37" s="192">
        <f>'Pricing Details'!AI41</f>
        <v>0</v>
      </c>
      <c r="AY37" s="192">
        <f>'Pricing Details'!AJ41</f>
        <v>0</v>
      </c>
      <c r="AZ37" s="192">
        <f>'Pricing Details'!AK41</f>
        <v>0</v>
      </c>
      <c r="BA37" s="192">
        <f>'Pricing Details'!AL41</f>
        <v>0</v>
      </c>
      <c r="BB37" s="192">
        <f>'Pricing Details'!AM41</f>
        <v>0</v>
      </c>
      <c r="BC37" s="192">
        <f>'Pricing Details'!AN41</f>
        <v>0</v>
      </c>
      <c r="BD37" s="192">
        <f>'Pricing Details'!AO41</f>
        <v>0</v>
      </c>
      <c r="BE37" s="293">
        <f>'Pricing Details'!AP41</f>
        <v>0</v>
      </c>
      <c r="BF37" s="16"/>
      <c r="BG37" s="16"/>
      <c r="BH37" s="16"/>
    </row>
    <row r="38" spans="1:60" x14ac:dyDescent="0.25">
      <c r="A38" s="16"/>
      <c r="B38" s="16"/>
      <c r="C38" s="16"/>
      <c r="D38" s="16"/>
      <c r="E38" s="16"/>
      <c r="F38" s="76">
        <f>'Pricing Details'!B42</f>
        <v>0</v>
      </c>
      <c r="G38" s="77" t="str">
        <f>'Pricing Details'!E42</f>
        <v/>
      </c>
      <c r="H38" s="78">
        <f>'Pricing Details'!AR42</f>
        <v>0</v>
      </c>
      <c r="I38" s="79">
        <f>'Pricing Details'!F42</f>
        <v>0</v>
      </c>
      <c r="J38" s="80">
        <f>'Pricing Details'!AV42</f>
        <v>0</v>
      </c>
      <c r="K38" s="82">
        <f>'Pricing Details'!AU42</f>
        <v>0</v>
      </c>
      <c r="L38" s="16"/>
      <c r="M38" s="76">
        <f>'Pricing Details'!B42</f>
        <v>0</v>
      </c>
      <c r="N38" s="77" t="str">
        <f>'Pricing Details'!E42</f>
        <v/>
      </c>
      <c r="O38" s="81">
        <f>'Pricing Details'!G42</f>
        <v>0</v>
      </c>
      <c r="P38" s="79">
        <f>'Pricing Details'!F42</f>
        <v>0</v>
      </c>
      <c r="Q38" s="80">
        <f>'Pricing Details'!AV42</f>
        <v>0</v>
      </c>
      <c r="R38" s="80">
        <f t="shared" si="1"/>
        <v>0</v>
      </c>
      <c r="S38" s="16"/>
      <c r="T38" s="296">
        <f>'Pricing Details'!B42</f>
        <v>0</v>
      </c>
      <c r="U38" s="193" t="str">
        <f>'Pricing Details'!E42</f>
        <v/>
      </c>
      <c r="V38" s="192">
        <f>'Pricing Details'!G42</f>
        <v>0</v>
      </c>
      <c r="W38" s="192">
        <f>'Pricing Details'!H42</f>
        <v>0</v>
      </c>
      <c r="X38" s="192">
        <f>'Pricing Details'!I42</f>
        <v>0</v>
      </c>
      <c r="Y38" s="192">
        <f>'Pricing Details'!J42</f>
        <v>0</v>
      </c>
      <c r="Z38" s="192">
        <f>'Pricing Details'!K42</f>
        <v>0</v>
      </c>
      <c r="AA38" s="192">
        <f>'Pricing Details'!L42</f>
        <v>0</v>
      </c>
      <c r="AB38" s="192">
        <f>'Pricing Details'!M42</f>
        <v>0</v>
      </c>
      <c r="AC38" s="192">
        <f>'Pricing Details'!N42</f>
        <v>0</v>
      </c>
      <c r="AD38" s="192">
        <f>'Pricing Details'!O42</f>
        <v>0</v>
      </c>
      <c r="AE38" s="192">
        <f>'Pricing Details'!P42</f>
        <v>0</v>
      </c>
      <c r="AF38" s="192">
        <f>'Pricing Details'!Q42</f>
        <v>0</v>
      </c>
      <c r="AG38" s="192">
        <f>'Pricing Details'!R42</f>
        <v>0</v>
      </c>
      <c r="AH38" s="192">
        <f>'Pricing Details'!S42</f>
        <v>0</v>
      </c>
      <c r="AI38" s="192">
        <f>'Pricing Details'!T42</f>
        <v>0</v>
      </c>
      <c r="AJ38" s="192">
        <f>'Pricing Details'!U42</f>
        <v>0</v>
      </c>
      <c r="AK38" s="192">
        <f>'Pricing Details'!V42</f>
        <v>0</v>
      </c>
      <c r="AL38" s="192">
        <f>'Pricing Details'!W42</f>
        <v>0</v>
      </c>
      <c r="AM38" s="192">
        <f>'Pricing Details'!X42</f>
        <v>0</v>
      </c>
      <c r="AN38" s="192">
        <f>'Pricing Details'!Y42</f>
        <v>0</v>
      </c>
      <c r="AO38" s="192">
        <f>'Pricing Details'!Z42</f>
        <v>0</v>
      </c>
      <c r="AP38" s="192">
        <f>'Pricing Details'!AA42</f>
        <v>0</v>
      </c>
      <c r="AQ38" s="192">
        <f>'Pricing Details'!AB42</f>
        <v>0</v>
      </c>
      <c r="AR38" s="192">
        <f>'Pricing Details'!AC42</f>
        <v>0</v>
      </c>
      <c r="AS38" s="192">
        <f>'Pricing Details'!AD42</f>
        <v>0</v>
      </c>
      <c r="AT38" s="192">
        <f>'Pricing Details'!AE42</f>
        <v>0</v>
      </c>
      <c r="AU38" s="192">
        <f>'Pricing Details'!AF42</f>
        <v>0</v>
      </c>
      <c r="AV38" s="192">
        <f>'Pricing Details'!AG42</f>
        <v>0</v>
      </c>
      <c r="AW38" s="192">
        <f>'Pricing Details'!AH42</f>
        <v>0</v>
      </c>
      <c r="AX38" s="192">
        <f>'Pricing Details'!AI42</f>
        <v>0</v>
      </c>
      <c r="AY38" s="192">
        <f>'Pricing Details'!AJ42</f>
        <v>0</v>
      </c>
      <c r="AZ38" s="192">
        <f>'Pricing Details'!AK42</f>
        <v>0</v>
      </c>
      <c r="BA38" s="192">
        <f>'Pricing Details'!AL42</f>
        <v>0</v>
      </c>
      <c r="BB38" s="192">
        <f>'Pricing Details'!AM42</f>
        <v>0</v>
      </c>
      <c r="BC38" s="192">
        <f>'Pricing Details'!AN42</f>
        <v>0</v>
      </c>
      <c r="BD38" s="192">
        <f>'Pricing Details'!AO42</f>
        <v>0</v>
      </c>
      <c r="BE38" s="293">
        <f>'Pricing Details'!AP42</f>
        <v>0</v>
      </c>
      <c r="BF38" s="16"/>
      <c r="BG38" s="16"/>
      <c r="BH38" s="16"/>
    </row>
    <row r="39" spans="1:60" ht="15.75" thickBot="1" x14ac:dyDescent="0.3">
      <c r="A39" s="16"/>
      <c r="B39" s="16"/>
      <c r="C39" s="16"/>
      <c r="D39" s="16"/>
      <c r="E39" s="16"/>
      <c r="F39" s="76">
        <f>'Pricing Details'!B43</f>
        <v>0</v>
      </c>
      <c r="G39" s="77" t="str">
        <f>'Pricing Details'!E43</f>
        <v/>
      </c>
      <c r="H39" s="78">
        <f>'Pricing Details'!AR43</f>
        <v>0</v>
      </c>
      <c r="I39" s="79">
        <f>'Pricing Details'!F43</f>
        <v>0</v>
      </c>
      <c r="J39" s="80">
        <f>'Pricing Details'!AV43</f>
        <v>0</v>
      </c>
      <c r="K39" s="82">
        <f>'Pricing Details'!AU43</f>
        <v>0</v>
      </c>
      <c r="L39" s="16"/>
      <c r="M39" s="76">
        <f>'Pricing Details'!B43</f>
        <v>0</v>
      </c>
      <c r="N39" s="77" t="str">
        <f>'Pricing Details'!E43</f>
        <v/>
      </c>
      <c r="O39" s="81">
        <f>'Pricing Details'!G43</f>
        <v>0</v>
      </c>
      <c r="P39" s="79">
        <f>'Pricing Details'!F43</f>
        <v>0</v>
      </c>
      <c r="Q39" s="80">
        <f>'Pricing Details'!AV43</f>
        <v>0</v>
      </c>
      <c r="R39" s="80">
        <f t="shared" si="1"/>
        <v>0</v>
      </c>
      <c r="S39" s="16"/>
      <c r="T39" s="297">
        <f>'Pricing Details'!B43</f>
        <v>0</v>
      </c>
      <c r="U39" s="197" t="str">
        <f>'Pricing Details'!E43</f>
        <v/>
      </c>
      <c r="V39" s="294">
        <f>'Pricing Details'!G43</f>
        <v>0</v>
      </c>
      <c r="W39" s="294">
        <f>'Pricing Details'!H43</f>
        <v>0</v>
      </c>
      <c r="X39" s="294">
        <f>'Pricing Details'!I43</f>
        <v>0</v>
      </c>
      <c r="Y39" s="294">
        <f>'Pricing Details'!J43</f>
        <v>0</v>
      </c>
      <c r="Z39" s="294">
        <f>'Pricing Details'!K43</f>
        <v>0</v>
      </c>
      <c r="AA39" s="294">
        <f>'Pricing Details'!L43</f>
        <v>0</v>
      </c>
      <c r="AB39" s="294">
        <f>'Pricing Details'!M43</f>
        <v>0</v>
      </c>
      <c r="AC39" s="294">
        <f>'Pricing Details'!N43</f>
        <v>0</v>
      </c>
      <c r="AD39" s="294">
        <f>'Pricing Details'!O43</f>
        <v>0</v>
      </c>
      <c r="AE39" s="294">
        <f>'Pricing Details'!P43</f>
        <v>0</v>
      </c>
      <c r="AF39" s="294">
        <f>'Pricing Details'!Q43</f>
        <v>0</v>
      </c>
      <c r="AG39" s="294">
        <f>'Pricing Details'!R43</f>
        <v>0</v>
      </c>
      <c r="AH39" s="294">
        <f>'Pricing Details'!S43</f>
        <v>0</v>
      </c>
      <c r="AI39" s="294">
        <f>'Pricing Details'!T43</f>
        <v>0</v>
      </c>
      <c r="AJ39" s="294">
        <f>'Pricing Details'!U43</f>
        <v>0</v>
      </c>
      <c r="AK39" s="294">
        <f>'Pricing Details'!V43</f>
        <v>0</v>
      </c>
      <c r="AL39" s="294">
        <f>'Pricing Details'!W43</f>
        <v>0</v>
      </c>
      <c r="AM39" s="294">
        <f>'Pricing Details'!X43</f>
        <v>0</v>
      </c>
      <c r="AN39" s="294">
        <f>'Pricing Details'!Y43</f>
        <v>0</v>
      </c>
      <c r="AO39" s="294">
        <f>'Pricing Details'!Z43</f>
        <v>0</v>
      </c>
      <c r="AP39" s="294">
        <f>'Pricing Details'!AA43</f>
        <v>0</v>
      </c>
      <c r="AQ39" s="294">
        <f>'Pricing Details'!AB43</f>
        <v>0</v>
      </c>
      <c r="AR39" s="294">
        <f>'Pricing Details'!AC43</f>
        <v>0</v>
      </c>
      <c r="AS39" s="294">
        <f>'Pricing Details'!AD43</f>
        <v>0</v>
      </c>
      <c r="AT39" s="294">
        <f>'Pricing Details'!AE43</f>
        <v>0</v>
      </c>
      <c r="AU39" s="294">
        <f>'Pricing Details'!AF43</f>
        <v>0</v>
      </c>
      <c r="AV39" s="294">
        <f>'Pricing Details'!AG43</f>
        <v>0</v>
      </c>
      <c r="AW39" s="294">
        <f>'Pricing Details'!AH43</f>
        <v>0</v>
      </c>
      <c r="AX39" s="294">
        <f>'Pricing Details'!AI43</f>
        <v>0</v>
      </c>
      <c r="AY39" s="294">
        <f>'Pricing Details'!AJ43</f>
        <v>0</v>
      </c>
      <c r="AZ39" s="294">
        <f>'Pricing Details'!AK43</f>
        <v>0</v>
      </c>
      <c r="BA39" s="294">
        <f>'Pricing Details'!AL43</f>
        <v>0</v>
      </c>
      <c r="BB39" s="294">
        <f>'Pricing Details'!AM43</f>
        <v>0</v>
      </c>
      <c r="BC39" s="294">
        <f>'Pricing Details'!AN43</f>
        <v>0</v>
      </c>
      <c r="BD39" s="294">
        <f>'Pricing Details'!AO43</f>
        <v>0</v>
      </c>
      <c r="BE39" s="295">
        <f>'Pricing Details'!AP43</f>
        <v>0</v>
      </c>
      <c r="BF39" s="16"/>
      <c r="BG39" s="16"/>
      <c r="BH39" s="16"/>
    </row>
    <row r="40" spans="1:60" x14ac:dyDescent="0.25">
      <c r="A40" s="16"/>
      <c r="B40" s="16"/>
      <c r="C40" s="16"/>
      <c r="D40" s="16"/>
      <c r="E40" s="16"/>
      <c r="F40" s="16"/>
      <c r="G40" s="67"/>
      <c r="H40" s="86">
        <f>SUM(H5:H39)</f>
        <v>310</v>
      </c>
      <c r="I40" s="87"/>
      <c r="J40" s="83"/>
      <c r="K40" s="88">
        <f>SUM(K5:K39)</f>
        <v>71300</v>
      </c>
      <c r="L40" s="16"/>
      <c r="M40" s="16"/>
      <c r="N40" s="16"/>
      <c r="O40" s="89">
        <f>SUM(O5:O39)</f>
        <v>50</v>
      </c>
      <c r="P40" s="90"/>
      <c r="Q40" s="83" t="s">
        <v>189</v>
      </c>
      <c r="R40" s="88">
        <f>SUM(R5:R39)</f>
        <v>11500</v>
      </c>
      <c r="S40" s="16"/>
      <c r="T40" s="306"/>
      <c r="U40" s="306"/>
      <c r="V40" s="307"/>
      <c r="W40" s="307"/>
      <c r="X40" s="307"/>
      <c r="Y40" s="307"/>
      <c r="Z40" s="307"/>
      <c r="AA40" s="307"/>
      <c r="AB40" s="307"/>
      <c r="AC40" s="307"/>
      <c r="AD40" s="307"/>
      <c r="AE40" s="307"/>
      <c r="AF40" s="307"/>
      <c r="AG40" s="307"/>
      <c r="AH40" s="307"/>
      <c r="AI40" s="307"/>
      <c r="AJ40" s="307"/>
      <c r="AK40" s="307"/>
      <c r="AL40" s="307"/>
      <c r="AM40" s="307"/>
      <c r="AN40" s="307"/>
      <c r="AO40" s="307"/>
      <c r="AP40" s="307"/>
      <c r="AQ40" s="307"/>
      <c r="AR40" s="307"/>
      <c r="AS40" s="307"/>
      <c r="AT40" s="307"/>
      <c r="AU40" s="307"/>
      <c r="AV40" s="307"/>
      <c r="AW40" s="307"/>
      <c r="AX40" s="307"/>
      <c r="AY40" s="307"/>
      <c r="AZ40" s="307"/>
      <c r="BA40" s="307"/>
      <c r="BB40" s="307"/>
      <c r="BC40" s="307"/>
      <c r="BD40" s="307"/>
      <c r="BE40" s="307"/>
      <c r="BF40" s="16"/>
      <c r="BG40" s="16"/>
      <c r="BH40" s="16"/>
    </row>
    <row r="41" spans="1:60" x14ac:dyDescent="0.25">
      <c r="A41" s="16"/>
      <c r="B41" s="16"/>
      <c r="C41" s="16"/>
      <c r="D41" s="16"/>
      <c r="E41" s="16"/>
      <c r="F41" s="16"/>
      <c r="G41" s="67"/>
      <c r="H41" s="86"/>
      <c r="I41" s="87"/>
      <c r="J41" s="83"/>
      <c r="K41" s="88"/>
      <c r="L41" s="16"/>
      <c r="M41" s="16"/>
      <c r="N41" s="16"/>
      <c r="O41" s="89"/>
      <c r="P41" s="90"/>
      <c r="Q41" s="83"/>
      <c r="R41" s="88"/>
      <c r="S41" s="16"/>
      <c r="T41" s="312"/>
      <c r="U41" s="312"/>
      <c r="V41" s="313"/>
      <c r="W41" s="313"/>
      <c r="X41" s="313"/>
      <c r="Y41" s="313"/>
      <c r="Z41" s="313"/>
      <c r="AA41" s="313"/>
      <c r="AB41" s="313"/>
      <c r="AC41" s="313"/>
      <c r="AD41" s="313"/>
      <c r="AE41" s="313"/>
      <c r="AF41" s="313"/>
      <c r="AG41" s="313"/>
      <c r="AH41" s="313"/>
      <c r="AI41" s="313"/>
      <c r="AJ41" s="313"/>
      <c r="AK41" s="313"/>
      <c r="AL41" s="313"/>
      <c r="AM41" s="313"/>
      <c r="AN41" s="313"/>
      <c r="AO41" s="313"/>
      <c r="AP41" s="313"/>
      <c r="AQ41" s="313"/>
      <c r="AR41" s="313"/>
      <c r="AS41" s="313"/>
      <c r="AT41" s="313"/>
      <c r="AU41" s="313"/>
      <c r="AV41" s="313"/>
      <c r="AW41" s="313"/>
      <c r="AX41" s="313"/>
      <c r="AY41" s="313"/>
      <c r="AZ41" s="313"/>
      <c r="BA41" s="313"/>
      <c r="BB41" s="313"/>
      <c r="BC41" s="313"/>
      <c r="BD41" s="313"/>
      <c r="BE41" s="313"/>
      <c r="BF41" s="16"/>
      <c r="BG41" s="16"/>
      <c r="BH41" s="16"/>
    </row>
    <row r="42" spans="1:60" ht="15.75" thickBot="1" x14ac:dyDescent="0.3">
      <c r="A42" s="16"/>
      <c r="B42" s="16"/>
      <c r="C42" s="16"/>
      <c r="D42" s="16"/>
      <c r="E42" s="16"/>
      <c r="F42" s="70" t="s">
        <v>34</v>
      </c>
      <c r="G42" s="67"/>
      <c r="H42" s="16"/>
      <c r="I42" s="16"/>
      <c r="J42" s="71"/>
      <c r="K42" s="71"/>
      <c r="L42" s="16"/>
      <c r="M42" s="16"/>
      <c r="N42" s="68"/>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row>
    <row r="43" spans="1:60" ht="45" x14ac:dyDescent="0.25">
      <c r="A43" s="16"/>
      <c r="B43" s="16"/>
      <c r="C43" s="16"/>
      <c r="D43" s="16"/>
      <c r="E43" s="16"/>
      <c r="F43" s="188" t="s">
        <v>155</v>
      </c>
      <c r="G43" s="189" t="s">
        <v>44</v>
      </c>
      <c r="H43" s="189" t="s">
        <v>156</v>
      </c>
      <c r="I43" s="189" t="s">
        <v>190</v>
      </c>
      <c r="J43" s="190" t="s">
        <v>158</v>
      </c>
      <c r="K43" s="16"/>
      <c r="L43" s="16"/>
      <c r="M43" s="16"/>
      <c r="N43" s="68"/>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row>
    <row r="44" spans="1:60" x14ac:dyDescent="0.25">
      <c r="A44" s="16"/>
      <c r="B44" s="16"/>
      <c r="C44" s="16"/>
      <c r="D44" s="16"/>
      <c r="E44" s="16"/>
      <c r="F44" s="191" t="str">
        <f>'Pricing Details'!B9</f>
        <v>Sr. Change Manager</v>
      </c>
      <c r="G44" s="193" t="str">
        <f>'Pricing Details'!E9</f>
        <v>USA</v>
      </c>
      <c r="H44" s="194">
        <f>'Pricing Details'!AR9</f>
        <v>310</v>
      </c>
      <c r="I44" s="195">
        <f>'Pricing Details'!F9</f>
        <v>275</v>
      </c>
      <c r="J44" s="196">
        <f>'Pricing Details'!AU9</f>
        <v>71300</v>
      </c>
      <c r="K44" s="16"/>
      <c r="L44" s="16"/>
      <c r="M44" s="16"/>
      <c r="N44" s="68"/>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row>
    <row r="45" spans="1:60" x14ac:dyDescent="0.25">
      <c r="A45" s="16"/>
      <c r="B45" s="16"/>
      <c r="C45" s="16"/>
      <c r="D45" s="16"/>
      <c r="E45" s="16"/>
      <c r="F45" s="191">
        <f>'Pricing Details'!B10</f>
        <v>0</v>
      </c>
      <c r="G45" s="193" t="str">
        <f>'Pricing Details'!E10</f>
        <v/>
      </c>
      <c r="H45" s="194">
        <f>'Pricing Details'!AR10</f>
        <v>0</v>
      </c>
      <c r="I45" s="195">
        <f>'Pricing Details'!F10</f>
        <v>0</v>
      </c>
      <c r="J45" s="196">
        <f>'Pricing Details'!AU10</f>
        <v>0</v>
      </c>
      <c r="K45" s="16"/>
      <c r="L45" s="16"/>
      <c r="M45" s="16"/>
      <c r="N45" s="68"/>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row>
    <row r="46" spans="1:60" x14ac:dyDescent="0.25">
      <c r="A46" s="16"/>
      <c r="B46" s="16"/>
      <c r="C46" s="16"/>
      <c r="D46" s="16"/>
      <c r="E46" s="16"/>
      <c r="F46" s="191">
        <f>'Pricing Details'!B11</f>
        <v>0</v>
      </c>
      <c r="G46" s="193" t="str">
        <f>'Pricing Details'!E11</f>
        <v/>
      </c>
      <c r="H46" s="194">
        <f>'Pricing Details'!AR11</f>
        <v>0</v>
      </c>
      <c r="I46" s="195">
        <f>'Pricing Details'!F11</f>
        <v>0</v>
      </c>
      <c r="J46" s="196">
        <f>'Pricing Details'!AU11</f>
        <v>0</v>
      </c>
      <c r="K46" s="16"/>
      <c r="L46" s="16"/>
      <c r="M46" s="16"/>
      <c r="N46" s="68"/>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row>
    <row r="47" spans="1:60" x14ac:dyDescent="0.25">
      <c r="A47" s="16"/>
      <c r="B47" s="16"/>
      <c r="C47" s="16"/>
      <c r="D47" s="16"/>
      <c r="E47" s="16"/>
      <c r="F47" s="191">
        <f>'Pricing Details'!B12</f>
        <v>0</v>
      </c>
      <c r="G47" s="193" t="str">
        <f>'Pricing Details'!E12</f>
        <v/>
      </c>
      <c r="H47" s="194">
        <f>'Pricing Details'!AR12</f>
        <v>0</v>
      </c>
      <c r="I47" s="195">
        <f>'Pricing Details'!F12</f>
        <v>0</v>
      </c>
      <c r="J47" s="196">
        <f>'Pricing Details'!AU12</f>
        <v>0</v>
      </c>
      <c r="K47" s="16"/>
      <c r="L47" s="16"/>
      <c r="M47" s="16"/>
      <c r="N47" s="68"/>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row>
    <row r="48" spans="1:60" x14ac:dyDescent="0.25">
      <c r="A48" s="16"/>
      <c r="B48" s="16"/>
      <c r="C48" s="16"/>
      <c r="D48" s="16"/>
      <c r="E48" s="16"/>
      <c r="F48" s="191">
        <f>'Pricing Details'!B13</f>
        <v>0</v>
      </c>
      <c r="G48" s="193" t="str">
        <f>'Pricing Details'!E13</f>
        <v/>
      </c>
      <c r="H48" s="194">
        <f>'Pricing Details'!AR13</f>
        <v>0</v>
      </c>
      <c r="I48" s="195">
        <f>'Pricing Details'!F13</f>
        <v>0</v>
      </c>
      <c r="J48" s="196">
        <f>'Pricing Details'!AU13</f>
        <v>0</v>
      </c>
      <c r="K48" s="16"/>
      <c r="L48" s="16"/>
      <c r="M48" s="16"/>
      <c r="N48" s="68"/>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row>
    <row r="49" spans="1:60" x14ac:dyDescent="0.25">
      <c r="A49" s="16"/>
      <c r="B49" s="16"/>
      <c r="C49" s="16"/>
      <c r="D49" s="16"/>
      <c r="E49" s="16"/>
      <c r="F49" s="191">
        <f>'Pricing Details'!B14</f>
        <v>0</v>
      </c>
      <c r="G49" s="193" t="str">
        <f>'Pricing Details'!E14</f>
        <v/>
      </c>
      <c r="H49" s="194">
        <f>'Pricing Details'!AR14</f>
        <v>0</v>
      </c>
      <c r="I49" s="195">
        <f>'Pricing Details'!F14</f>
        <v>0</v>
      </c>
      <c r="J49" s="196">
        <f>'Pricing Details'!AU14</f>
        <v>0</v>
      </c>
      <c r="K49" s="16"/>
      <c r="L49" s="16"/>
      <c r="M49" s="16"/>
      <c r="N49" s="68"/>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row>
    <row r="50" spans="1:60" x14ac:dyDescent="0.25">
      <c r="A50" s="16"/>
      <c r="B50" s="16"/>
      <c r="C50" s="16"/>
      <c r="D50" s="16"/>
      <c r="E50" s="16"/>
      <c r="F50" s="191">
        <f>'Pricing Details'!B15</f>
        <v>0</v>
      </c>
      <c r="G50" s="193" t="str">
        <f>'Pricing Details'!E15</f>
        <v/>
      </c>
      <c r="H50" s="194">
        <f>'Pricing Details'!AR15</f>
        <v>0</v>
      </c>
      <c r="I50" s="195">
        <f>'Pricing Details'!F15</f>
        <v>0</v>
      </c>
      <c r="J50" s="196">
        <f>'Pricing Details'!AU15</f>
        <v>0</v>
      </c>
      <c r="K50" s="16"/>
      <c r="L50" s="16"/>
      <c r="M50" s="16"/>
      <c r="N50" s="68"/>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row>
    <row r="51" spans="1:60" x14ac:dyDescent="0.25">
      <c r="A51" s="16"/>
      <c r="B51" s="16"/>
      <c r="C51" s="16"/>
      <c r="D51" s="16"/>
      <c r="E51" s="16"/>
      <c r="F51" s="191">
        <f>'Pricing Details'!B16</f>
        <v>0</v>
      </c>
      <c r="G51" s="193" t="str">
        <f>'Pricing Details'!E16</f>
        <v/>
      </c>
      <c r="H51" s="194">
        <f>'Pricing Details'!AR16</f>
        <v>0</v>
      </c>
      <c r="I51" s="195">
        <f>'Pricing Details'!F16</f>
        <v>0</v>
      </c>
      <c r="J51" s="196">
        <f>'Pricing Details'!AU16</f>
        <v>0</v>
      </c>
      <c r="K51" s="16"/>
      <c r="L51" s="16"/>
      <c r="M51" s="16"/>
      <c r="N51" s="68"/>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row>
    <row r="52" spans="1:60" x14ac:dyDescent="0.25">
      <c r="A52" s="16"/>
      <c r="B52" s="16"/>
      <c r="C52" s="16"/>
      <c r="D52" s="16"/>
      <c r="E52" s="16"/>
      <c r="F52" s="191">
        <f>'Pricing Details'!B17</f>
        <v>0</v>
      </c>
      <c r="G52" s="193" t="str">
        <f>'Pricing Details'!E17</f>
        <v/>
      </c>
      <c r="H52" s="194">
        <f>'Pricing Details'!AR17</f>
        <v>0</v>
      </c>
      <c r="I52" s="195">
        <f>'Pricing Details'!F17</f>
        <v>0</v>
      </c>
      <c r="J52" s="196">
        <f>'Pricing Details'!AU17</f>
        <v>0</v>
      </c>
      <c r="K52" s="16"/>
      <c r="L52" s="16"/>
      <c r="M52" s="16"/>
      <c r="N52" s="68"/>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row>
    <row r="53" spans="1:60" x14ac:dyDescent="0.25">
      <c r="A53" s="16"/>
      <c r="B53" s="16"/>
      <c r="C53" s="16"/>
      <c r="D53" s="16"/>
      <c r="E53" s="16"/>
      <c r="F53" s="191">
        <f>'Pricing Details'!B18</f>
        <v>0</v>
      </c>
      <c r="G53" s="193" t="str">
        <f>'Pricing Details'!E18</f>
        <v/>
      </c>
      <c r="H53" s="194">
        <f>'Pricing Details'!AR18</f>
        <v>0</v>
      </c>
      <c r="I53" s="195">
        <f>'Pricing Details'!F18</f>
        <v>0</v>
      </c>
      <c r="J53" s="196">
        <f>'Pricing Details'!AU18</f>
        <v>0</v>
      </c>
      <c r="K53" s="16"/>
      <c r="L53" s="16"/>
      <c r="M53" s="16"/>
      <c r="N53" s="68"/>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row>
    <row r="54" spans="1:60" x14ac:dyDescent="0.25">
      <c r="A54" s="16"/>
      <c r="B54" s="16"/>
      <c r="C54" s="16"/>
      <c r="D54" s="16"/>
      <c r="E54" s="16"/>
      <c r="F54" s="191">
        <f>'Pricing Details'!B19</f>
        <v>0</v>
      </c>
      <c r="G54" s="193" t="str">
        <f>'Pricing Details'!E19</f>
        <v/>
      </c>
      <c r="H54" s="194">
        <f>'Pricing Details'!AR19</f>
        <v>0</v>
      </c>
      <c r="I54" s="195">
        <f>'Pricing Details'!F19</f>
        <v>0</v>
      </c>
      <c r="J54" s="196">
        <f>'Pricing Details'!AU19</f>
        <v>0</v>
      </c>
      <c r="K54" s="16"/>
      <c r="L54" s="16"/>
      <c r="M54" s="16"/>
      <c r="N54" s="68"/>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row>
    <row r="55" spans="1:60" x14ac:dyDescent="0.25">
      <c r="A55" s="16"/>
      <c r="B55" s="16"/>
      <c r="C55" s="16"/>
      <c r="D55" s="16"/>
      <c r="E55" s="16"/>
      <c r="F55" s="191">
        <f>'Pricing Details'!B20</f>
        <v>0</v>
      </c>
      <c r="G55" s="193" t="str">
        <f>'Pricing Details'!E20</f>
        <v/>
      </c>
      <c r="H55" s="194">
        <f>'Pricing Details'!AR20</f>
        <v>0</v>
      </c>
      <c r="I55" s="195">
        <f>'Pricing Details'!F20</f>
        <v>0</v>
      </c>
      <c r="J55" s="196">
        <f>'Pricing Details'!AU20</f>
        <v>0</v>
      </c>
      <c r="K55" s="16"/>
      <c r="L55" s="16"/>
      <c r="M55" s="16"/>
      <c r="N55" s="68"/>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row>
    <row r="56" spans="1:60" x14ac:dyDescent="0.25">
      <c r="A56" s="16"/>
      <c r="B56" s="16"/>
      <c r="C56" s="16"/>
      <c r="D56" s="16"/>
      <c r="E56" s="16"/>
      <c r="F56" s="191">
        <f>'Pricing Details'!B21</f>
        <v>0</v>
      </c>
      <c r="G56" s="193" t="str">
        <f>'Pricing Details'!E21</f>
        <v/>
      </c>
      <c r="H56" s="194">
        <f>'Pricing Details'!AR21</f>
        <v>0</v>
      </c>
      <c r="I56" s="195">
        <f>'Pricing Details'!F21</f>
        <v>0</v>
      </c>
      <c r="J56" s="196">
        <f>'Pricing Details'!AU21</f>
        <v>0</v>
      </c>
      <c r="K56" s="16"/>
      <c r="L56" s="16"/>
      <c r="M56" s="16"/>
      <c r="N56" s="68"/>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row>
    <row r="57" spans="1:60" x14ac:dyDescent="0.25">
      <c r="A57" s="16"/>
      <c r="B57" s="16"/>
      <c r="C57" s="16"/>
      <c r="D57" s="16"/>
      <c r="E57" s="16"/>
      <c r="F57" s="191">
        <f>'Pricing Details'!B22</f>
        <v>0</v>
      </c>
      <c r="G57" s="193" t="str">
        <f>'Pricing Details'!E22</f>
        <v/>
      </c>
      <c r="H57" s="194">
        <f>'Pricing Details'!AR22</f>
        <v>0</v>
      </c>
      <c r="I57" s="195">
        <f>'Pricing Details'!F22</f>
        <v>0</v>
      </c>
      <c r="J57" s="196">
        <f>'Pricing Details'!AU22</f>
        <v>0</v>
      </c>
      <c r="K57" s="16"/>
      <c r="L57" s="16"/>
      <c r="M57" s="16"/>
      <c r="N57" s="68"/>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B57" s="16"/>
      <c r="BC57" s="16"/>
      <c r="BD57" s="16"/>
      <c r="BE57" s="16"/>
      <c r="BF57" s="16"/>
      <c r="BG57" s="16"/>
      <c r="BH57" s="16"/>
    </row>
    <row r="58" spans="1:60" x14ac:dyDescent="0.25">
      <c r="A58" s="16"/>
      <c r="B58" s="16"/>
      <c r="C58" s="16"/>
      <c r="D58" s="16"/>
      <c r="E58" s="16"/>
      <c r="F58" s="191">
        <f>'Pricing Details'!B23</f>
        <v>0</v>
      </c>
      <c r="G58" s="193" t="str">
        <f>'Pricing Details'!E23</f>
        <v/>
      </c>
      <c r="H58" s="194">
        <f>'Pricing Details'!AR23</f>
        <v>0</v>
      </c>
      <c r="I58" s="195">
        <f>'Pricing Details'!F23</f>
        <v>0</v>
      </c>
      <c r="J58" s="196">
        <f>'Pricing Details'!AU23</f>
        <v>0</v>
      </c>
      <c r="K58" s="16"/>
      <c r="L58" s="16"/>
      <c r="M58" s="16"/>
      <c r="N58" s="16"/>
      <c r="O58" s="68"/>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6"/>
      <c r="BG58" s="16"/>
      <c r="BH58" s="16"/>
    </row>
    <row r="59" spans="1:60" x14ac:dyDescent="0.25">
      <c r="A59" s="16"/>
      <c r="B59" s="16"/>
      <c r="C59" s="16"/>
      <c r="D59" s="16"/>
      <c r="E59" s="16"/>
      <c r="F59" s="191">
        <f>'Pricing Details'!B24</f>
        <v>0</v>
      </c>
      <c r="G59" s="193" t="str">
        <f>'Pricing Details'!E24</f>
        <v/>
      </c>
      <c r="H59" s="194">
        <f>'Pricing Details'!AR24</f>
        <v>0</v>
      </c>
      <c r="I59" s="195">
        <f>'Pricing Details'!F24</f>
        <v>0</v>
      </c>
      <c r="J59" s="196">
        <f>'Pricing Details'!AU24</f>
        <v>0</v>
      </c>
      <c r="K59" s="88"/>
      <c r="L59" s="16"/>
      <c r="M59" s="16"/>
      <c r="N59" s="16"/>
      <c r="O59" s="68"/>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row>
    <row r="60" spans="1:60" x14ac:dyDescent="0.25">
      <c r="A60" s="16"/>
      <c r="B60" s="16"/>
      <c r="C60" s="16"/>
      <c r="D60" s="16"/>
      <c r="E60" s="16"/>
      <c r="F60" s="191">
        <f>'Pricing Details'!B25</f>
        <v>0</v>
      </c>
      <c r="G60" s="193" t="str">
        <f>'Pricing Details'!E25</f>
        <v/>
      </c>
      <c r="H60" s="194">
        <f>'Pricing Details'!AR25</f>
        <v>0</v>
      </c>
      <c r="I60" s="195">
        <f>'Pricing Details'!F25</f>
        <v>0</v>
      </c>
      <c r="J60" s="196">
        <f>'Pricing Details'!AU25</f>
        <v>0</v>
      </c>
      <c r="K60" s="16"/>
      <c r="L60" s="16"/>
      <c r="M60" s="16"/>
      <c r="N60" s="16"/>
      <c r="O60" s="68"/>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row>
    <row r="61" spans="1:60" x14ac:dyDescent="0.25">
      <c r="A61" s="16"/>
      <c r="B61" s="16"/>
      <c r="C61" s="16"/>
      <c r="D61" s="16"/>
      <c r="E61" s="16"/>
      <c r="F61" s="191">
        <f>'Pricing Details'!B26</f>
        <v>0</v>
      </c>
      <c r="G61" s="193" t="str">
        <f>'Pricing Details'!E26</f>
        <v/>
      </c>
      <c r="H61" s="194">
        <f>'Pricing Details'!AR26</f>
        <v>0</v>
      </c>
      <c r="I61" s="195">
        <f>'Pricing Details'!F26</f>
        <v>0</v>
      </c>
      <c r="J61" s="196">
        <f>'Pricing Details'!AU26</f>
        <v>0</v>
      </c>
      <c r="K61" s="16"/>
      <c r="L61" s="16"/>
      <c r="M61" s="16"/>
      <c r="N61" s="16"/>
      <c r="O61" s="68"/>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16"/>
      <c r="BF61" s="16"/>
      <c r="BG61" s="16"/>
      <c r="BH61" s="16"/>
    </row>
    <row r="62" spans="1:60" x14ac:dyDescent="0.25">
      <c r="A62" s="16"/>
      <c r="B62" s="16"/>
      <c r="C62" s="16"/>
      <c r="D62" s="16"/>
      <c r="E62" s="16"/>
      <c r="F62" s="191">
        <f>'Pricing Details'!B27</f>
        <v>0</v>
      </c>
      <c r="G62" s="193" t="str">
        <f>'Pricing Details'!E27</f>
        <v/>
      </c>
      <c r="H62" s="194">
        <f>'Pricing Details'!AR27</f>
        <v>0</v>
      </c>
      <c r="I62" s="195">
        <f>'Pricing Details'!F27</f>
        <v>0</v>
      </c>
      <c r="J62" s="196">
        <f>'Pricing Details'!AU27</f>
        <v>0</v>
      </c>
      <c r="K62" s="16"/>
      <c r="L62" s="16"/>
      <c r="M62" s="16"/>
      <c r="N62" s="16"/>
      <c r="O62" s="68"/>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row>
    <row r="63" spans="1:60" x14ac:dyDescent="0.25">
      <c r="A63" s="16"/>
      <c r="B63" s="16"/>
      <c r="C63" s="16"/>
      <c r="D63" s="16"/>
      <c r="E63" s="16"/>
      <c r="F63" s="191">
        <f>'Pricing Details'!B28</f>
        <v>0</v>
      </c>
      <c r="G63" s="193" t="str">
        <f>'Pricing Details'!E28</f>
        <v/>
      </c>
      <c r="H63" s="194">
        <f>'Pricing Details'!AR28</f>
        <v>0</v>
      </c>
      <c r="I63" s="195">
        <f>'Pricing Details'!F28</f>
        <v>0</v>
      </c>
      <c r="J63" s="196">
        <f>'Pricing Details'!AU28</f>
        <v>0</v>
      </c>
      <c r="K63" s="16"/>
      <c r="L63" s="16"/>
      <c r="M63" s="16"/>
      <c r="N63" s="16"/>
      <c r="O63" s="68"/>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6"/>
      <c r="BD63" s="16"/>
      <c r="BE63" s="16"/>
      <c r="BF63" s="16"/>
      <c r="BG63" s="16"/>
      <c r="BH63" s="16"/>
    </row>
    <row r="64" spans="1:60" x14ac:dyDescent="0.25">
      <c r="A64" s="16"/>
      <c r="B64" s="16"/>
      <c r="C64" s="16"/>
      <c r="D64" s="16"/>
      <c r="E64" s="16"/>
      <c r="F64" s="191">
        <f>'Pricing Details'!B29</f>
        <v>0</v>
      </c>
      <c r="G64" s="193" t="str">
        <f>'Pricing Details'!E29</f>
        <v/>
      </c>
      <c r="H64" s="194">
        <f>'Pricing Details'!AR29</f>
        <v>0</v>
      </c>
      <c r="I64" s="195">
        <f>'Pricing Details'!F29</f>
        <v>0</v>
      </c>
      <c r="J64" s="196">
        <f>'Pricing Details'!AU29</f>
        <v>0</v>
      </c>
      <c r="K64" s="16"/>
      <c r="L64" s="16"/>
      <c r="M64" s="16"/>
      <c r="N64" s="16"/>
      <c r="O64" s="68"/>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row>
    <row r="65" spans="1:60" x14ac:dyDescent="0.25">
      <c r="A65" s="16"/>
      <c r="B65" s="16"/>
      <c r="C65" s="16"/>
      <c r="D65" s="16"/>
      <c r="E65" s="16"/>
      <c r="F65" s="191">
        <f>'Pricing Details'!B30</f>
        <v>0</v>
      </c>
      <c r="G65" s="193" t="str">
        <f>'Pricing Details'!E30</f>
        <v/>
      </c>
      <c r="H65" s="194">
        <f>'Pricing Details'!AR30</f>
        <v>0</v>
      </c>
      <c r="I65" s="195">
        <f>'Pricing Details'!F30</f>
        <v>0</v>
      </c>
      <c r="J65" s="196">
        <f>'Pricing Details'!AU30</f>
        <v>0</v>
      </c>
      <c r="K65" s="16"/>
      <c r="L65" s="16"/>
      <c r="M65" s="16"/>
      <c r="N65" s="16"/>
      <c r="O65" s="68"/>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row>
    <row r="66" spans="1:60" x14ac:dyDescent="0.25">
      <c r="A66" s="16"/>
      <c r="B66" s="16"/>
      <c r="C66" s="16"/>
      <c r="D66" s="16"/>
      <c r="E66" s="16"/>
      <c r="F66" s="191">
        <f>'Pricing Details'!B31</f>
        <v>0</v>
      </c>
      <c r="G66" s="193" t="str">
        <f>'Pricing Details'!E31</f>
        <v/>
      </c>
      <c r="H66" s="194">
        <f>'Pricing Details'!AR31</f>
        <v>0</v>
      </c>
      <c r="I66" s="195">
        <f>'Pricing Details'!F31</f>
        <v>0</v>
      </c>
      <c r="J66" s="196">
        <f>'Pricing Details'!AU31</f>
        <v>0</v>
      </c>
      <c r="K66" s="16"/>
      <c r="L66" s="16"/>
      <c r="M66" s="16"/>
      <c r="N66" s="16"/>
      <c r="O66" s="68"/>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6"/>
      <c r="BD66" s="16"/>
      <c r="BE66" s="16"/>
      <c r="BF66" s="16"/>
      <c r="BG66" s="16"/>
      <c r="BH66" s="16"/>
    </row>
    <row r="67" spans="1:60" x14ac:dyDescent="0.25">
      <c r="A67" s="16"/>
      <c r="B67" s="16"/>
      <c r="C67" s="16"/>
      <c r="D67" s="16"/>
      <c r="E67" s="16"/>
      <c r="F67" s="191">
        <f>'Pricing Details'!B32</f>
        <v>0</v>
      </c>
      <c r="G67" s="193" t="str">
        <f>'Pricing Details'!E32</f>
        <v/>
      </c>
      <c r="H67" s="194">
        <f>'Pricing Details'!AR32</f>
        <v>0</v>
      </c>
      <c r="I67" s="195">
        <f>'Pricing Details'!F32</f>
        <v>0</v>
      </c>
      <c r="J67" s="196">
        <f>'Pricing Details'!AU32</f>
        <v>0</v>
      </c>
      <c r="K67" s="16"/>
      <c r="L67" s="16"/>
      <c r="M67" s="16"/>
      <c r="N67" s="16"/>
      <c r="O67" s="68"/>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row>
    <row r="68" spans="1:60" x14ac:dyDescent="0.25">
      <c r="A68" s="16"/>
      <c r="B68" s="16"/>
      <c r="C68" s="16"/>
      <c r="D68" s="16"/>
      <c r="E68" s="16"/>
      <c r="F68" s="191">
        <f>'Pricing Details'!B33</f>
        <v>0</v>
      </c>
      <c r="G68" s="193" t="str">
        <f>'Pricing Details'!E33</f>
        <v/>
      </c>
      <c r="H68" s="194">
        <f>'Pricing Details'!AR33</f>
        <v>0</v>
      </c>
      <c r="I68" s="195">
        <f>'Pricing Details'!F33</f>
        <v>0</v>
      </c>
      <c r="J68" s="196">
        <f>'Pricing Details'!AU33</f>
        <v>0</v>
      </c>
      <c r="K68" s="16"/>
      <c r="L68" s="16"/>
      <c r="M68" s="16"/>
      <c r="N68" s="16"/>
      <c r="O68" s="68"/>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16"/>
      <c r="BD68" s="16"/>
      <c r="BE68" s="16"/>
      <c r="BF68" s="16"/>
      <c r="BG68" s="16"/>
      <c r="BH68" s="16"/>
    </row>
    <row r="69" spans="1:60" x14ac:dyDescent="0.25">
      <c r="A69" s="16"/>
      <c r="B69" s="16"/>
      <c r="C69" s="16"/>
      <c r="D69" s="16"/>
      <c r="E69" s="16"/>
      <c r="F69" s="191">
        <f>'Pricing Details'!B34</f>
        <v>0</v>
      </c>
      <c r="G69" s="193" t="str">
        <f>'Pricing Details'!E34</f>
        <v/>
      </c>
      <c r="H69" s="194">
        <f>'Pricing Details'!AR34</f>
        <v>0</v>
      </c>
      <c r="I69" s="195">
        <f>'Pricing Details'!F34</f>
        <v>0</v>
      </c>
      <c r="J69" s="196">
        <f>'Pricing Details'!AU34</f>
        <v>0</v>
      </c>
      <c r="K69" s="16"/>
      <c r="L69" s="16"/>
      <c r="M69" s="16"/>
      <c r="N69" s="16"/>
      <c r="O69" s="68"/>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6"/>
      <c r="BG69" s="16"/>
      <c r="BH69" s="16"/>
    </row>
    <row r="70" spans="1:60" x14ac:dyDescent="0.25">
      <c r="A70" s="16"/>
      <c r="B70" s="16"/>
      <c r="C70" s="16"/>
      <c r="D70" s="16"/>
      <c r="E70" s="16"/>
      <c r="F70" s="191">
        <f>'Pricing Details'!B35</f>
        <v>0</v>
      </c>
      <c r="G70" s="193" t="str">
        <f>'Pricing Details'!E35</f>
        <v/>
      </c>
      <c r="H70" s="194">
        <f>'Pricing Details'!AR35</f>
        <v>0</v>
      </c>
      <c r="I70" s="195">
        <f>'Pricing Details'!F35</f>
        <v>0</v>
      </c>
      <c r="J70" s="196">
        <f>'Pricing Details'!AU35</f>
        <v>0</v>
      </c>
      <c r="K70" s="16"/>
      <c r="L70" s="16"/>
      <c r="M70" s="16"/>
      <c r="N70" s="16"/>
      <c r="O70" s="68"/>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6"/>
      <c r="BF70" s="16"/>
      <c r="BG70" s="16"/>
      <c r="BH70" s="16"/>
    </row>
    <row r="71" spans="1:60" x14ac:dyDescent="0.25">
      <c r="A71" s="16"/>
      <c r="B71" s="16"/>
      <c r="C71" s="16"/>
      <c r="D71" s="16"/>
      <c r="E71" s="16"/>
      <c r="F71" s="191">
        <f>'Pricing Details'!B36</f>
        <v>0</v>
      </c>
      <c r="G71" s="193" t="str">
        <f>'Pricing Details'!E36</f>
        <v/>
      </c>
      <c r="H71" s="194">
        <f>'Pricing Details'!AR36</f>
        <v>0</v>
      </c>
      <c r="I71" s="195">
        <f>'Pricing Details'!F36</f>
        <v>0</v>
      </c>
      <c r="J71" s="196">
        <f>'Pricing Details'!AU36</f>
        <v>0</v>
      </c>
      <c r="K71" s="16"/>
      <c r="L71" s="16"/>
      <c r="M71" s="16"/>
      <c r="N71" s="16"/>
      <c r="O71" s="68"/>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6"/>
      <c r="BF71" s="16"/>
      <c r="BG71" s="16"/>
      <c r="BH71" s="16"/>
    </row>
    <row r="72" spans="1:60" x14ac:dyDescent="0.25">
      <c r="A72" s="16"/>
      <c r="B72" s="16"/>
      <c r="C72" s="16"/>
      <c r="D72" s="16"/>
      <c r="E72" s="16"/>
      <c r="F72" s="191">
        <f>'Pricing Details'!B37</f>
        <v>0</v>
      </c>
      <c r="G72" s="193" t="str">
        <f>'Pricing Details'!E37</f>
        <v/>
      </c>
      <c r="H72" s="194">
        <f>'Pricing Details'!AR37</f>
        <v>0</v>
      </c>
      <c r="I72" s="195">
        <f>'Pricing Details'!F37</f>
        <v>0</v>
      </c>
      <c r="J72" s="196">
        <f>'Pricing Details'!AU37</f>
        <v>0</v>
      </c>
      <c r="K72" s="16"/>
      <c r="L72" s="16"/>
      <c r="M72" s="16"/>
      <c r="N72" s="16"/>
      <c r="O72" s="68"/>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c r="BC72" s="16"/>
      <c r="BD72" s="16"/>
      <c r="BE72" s="16"/>
      <c r="BF72" s="16"/>
      <c r="BG72" s="16"/>
      <c r="BH72" s="16"/>
    </row>
    <row r="73" spans="1:60" x14ac:dyDescent="0.25">
      <c r="A73" s="16"/>
      <c r="B73" s="16"/>
      <c r="C73" s="16"/>
      <c r="D73" s="16"/>
      <c r="E73" s="16"/>
      <c r="F73" s="191">
        <f>'Pricing Details'!B38</f>
        <v>0</v>
      </c>
      <c r="G73" s="193" t="str">
        <f>'Pricing Details'!E38</f>
        <v/>
      </c>
      <c r="H73" s="194">
        <f>'Pricing Details'!AR38</f>
        <v>0</v>
      </c>
      <c r="I73" s="195">
        <f>'Pricing Details'!F38</f>
        <v>0</v>
      </c>
      <c r="J73" s="196">
        <f>'Pricing Details'!AU38</f>
        <v>0</v>
      </c>
      <c r="K73" s="16"/>
      <c r="L73" s="16"/>
      <c r="M73" s="16"/>
      <c r="N73" s="16"/>
      <c r="O73" s="68"/>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16"/>
      <c r="BD73" s="16"/>
      <c r="BE73" s="16"/>
      <c r="BF73" s="16"/>
      <c r="BG73" s="16"/>
      <c r="BH73" s="16"/>
    </row>
    <row r="74" spans="1:60" x14ac:dyDescent="0.25">
      <c r="A74" s="16"/>
      <c r="B74" s="16"/>
      <c r="C74" s="16"/>
      <c r="D74" s="16"/>
      <c r="E74" s="16"/>
      <c r="F74" s="191">
        <f>'Pricing Details'!B39</f>
        <v>0</v>
      </c>
      <c r="G74" s="193" t="str">
        <f>'Pricing Details'!E39</f>
        <v/>
      </c>
      <c r="H74" s="194">
        <f>'Pricing Details'!AR39</f>
        <v>0</v>
      </c>
      <c r="I74" s="195">
        <f>'Pricing Details'!F39</f>
        <v>0</v>
      </c>
      <c r="J74" s="196">
        <f>'Pricing Details'!AU39</f>
        <v>0</v>
      </c>
      <c r="K74" s="16"/>
      <c r="L74" s="16"/>
      <c r="M74" s="16"/>
      <c r="N74" s="16"/>
      <c r="O74" s="68"/>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16"/>
      <c r="BD74" s="16"/>
      <c r="BE74" s="16"/>
      <c r="BF74" s="16"/>
      <c r="BG74" s="16"/>
      <c r="BH74" s="16"/>
    </row>
    <row r="75" spans="1:60" x14ac:dyDescent="0.25">
      <c r="A75" s="16"/>
      <c r="B75" s="16"/>
      <c r="C75" s="16"/>
      <c r="D75" s="16"/>
      <c r="E75" s="16"/>
      <c r="F75" s="191">
        <f>'Pricing Details'!B40</f>
        <v>0</v>
      </c>
      <c r="G75" s="193" t="str">
        <f>'Pricing Details'!E40</f>
        <v/>
      </c>
      <c r="H75" s="194">
        <f>'Pricing Details'!AR40</f>
        <v>0</v>
      </c>
      <c r="I75" s="195">
        <f>'Pricing Details'!F40</f>
        <v>0</v>
      </c>
      <c r="J75" s="196">
        <f>'Pricing Details'!AU40</f>
        <v>0</v>
      </c>
      <c r="K75" s="16"/>
      <c r="L75" s="16"/>
      <c r="M75" s="16"/>
      <c r="N75" s="16"/>
      <c r="O75" s="68"/>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row>
    <row r="76" spans="1:60" x14ac:dyDescent="0.25">
      <c r="A76" s="16"/>
      <c r="B76" s="16"/>
      <c r="C76" s="16"/>
      <c r="D76" s="16"/>
      <c r="E76" s="16"/>
      <c r="F76" s="191">
        <f>'Pricing Details'!B41</f>
        <v>0</v>
      </c>
      <c r="G76" s="193" t="str">
        <f>'Pricing Details'!E41</f>
        <v/>
      </c>
      <c r="H76" s="194">
        <f>'Pricing Details'!AR41</f>
        <v>0</v>
      </c>
      <c r="I76" s="195">
        <f>'Pricing Details'!F41</f>
        <v>0</v>
      </c>
      <c r="J76" s="196">
        <f>'Pricing Details'!AU41</f>
        <v>0</v>
      </c>
      <c r="K76" s="16"/>
      <c r="L76" s="16"/>
      <c r="M76" s="16"/>
      <c r="N76" s="16"/>
      <c r="O76" s="68"/>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c r="BF76" s="16"/>
      <c r="BG76" s="16"/>
      <c r="BH76" s="16"/>
    </row>
    <row r="77" spans="1:60" x14ac:dyDescent="0.25">
      <c r="A77" s="16"/>
      <c r="B77" s="16"/>
      <c r="C77" s="16"/>
      <c r="D77" s="16"/>
      <c r="E77" s="16"/>
      <c r="F77" s="191">
        <f>'Pricing Details'!B42</f>
        <v>0</v>
      </c>
      <c r="G77" s="193" t="str">
        <f>'Pricing Details'!E42</f>
        <v/>
      </c>
      <c r="H77" s="194">
        <f>'Pricing Details'!AR42</f>
        <v>0</v>
      </c>
      <c r="I77" s="195">
        <f>'Pricing Details'!F42</f>
        <v>0</v>
      </c>
      <c r="J77" s="196">
        <f>'Pricing Details'!AU42</f>
        <v>0</v>
      </c>
      <c r="K77" s="16"/>
      <c r="L77" s="16"/>
      <c r="M77" s="16"/>
      <c r="N77" s="16"/>
      <c r="O77" s="68"/>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16"/>
      <c r="BD77" s="16"/>
      <c r="BE77" s="16"/>
      <c r="BF77" s="16"/>
      <c r="BG77" s="16"/>
      <c r="BH77" s="16"/>
    </row>
    <row r="78" spans="1:60" x14ac:dyDescent="0.25">
      <c r="A78" s="16"/>
      <c r="B78" s="16"/>
      <c r="C78" s="16"/>
      <c r="D78" s="16"/>
      <c r="E78" s="16"/>
      <c r="F78" s="191">
        <f>'Pricing Details'!B43</f>
        <v>0</v>
      </c>
      <c r="G78" s="193" t="str">
        <f>'Pricing Details'!E43</f>
        <v/>
      </c>
      <c r="H78" s="194">
        <f>'Pricing Details'!AR43</f>
        <v>0</v>
      </c>
      <c r="I78" s="195">
        <f>'Pricing Details'!F43</f>
        <v>0</v>
      </c>
      <c r="J78" s="196">
        <f>'Pricing Details'!AU43</f>
        <v>0</v>
      </c>
      <c r="K78" s="16"/>
      <c r="L78" s="16"/>
      <c r="M78" s="16"/>
      <c r="N78" s="16"/>
      <c r="O78" s="68"/>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c r="BC78" s="16"/>
      <c r="BD78" s="16"/>
      <c r="BE78" s="16"/>
      <c r="BF78" s="16"/>
      <c r="BG78" s="16"/>
      <c r="BH78" s="16"/>
    </row>
    <row r="79" spans="1:60" x14ac:dyDescent="0.25">
      <c r="A79" s="16"/>
      <c r="B79" s="16"/>
      <c r="C79" s="16"/>
      <c r="D79" s="16"/>
      <c r="E79" s="16"/>
      <c r="F79" s="16"/>
      <c r="G79" s="67"/>
      <c r="H79" s="86">
        <f>SUM(H44:H78)</f>
        <v>310</v>
      </c>
      <c r="I79" s="87"/>
      <c r="J79" s="88">
        <f>SUM(J44:J78)</f>
        <v>71300</v>
      </c>
      <c r="K79" s="16"/>
      <c r="L79" s="16"/>
      <c r="M79" s="16"/>
      <c r="N79" s="16"/>
      <c r="O79" s="68"/>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6"/>
      <c r="BD79" s="16"/>
      <c r="BE79" s="16"/>
      <c r="BF79" s="16"/>
      <c r="BG79" s="16"/>
      <c r="BH79" s="16"/>
    </row>
    <row r="80" spans="1:60" x14ac:dyDescent="0.25">
      <c r="A80" s="16"/>
      <c r="B80" s="16"/>
      <c r="C80" s="16"/>
      <c r="D80" s="16"/>
      <c r="E80" s="16"/>
      <c r="F80" s="16"/>
      <c r="G80" s="67"/>
      <c r="H80" s="16"/>
      <c r="I80" s="16"/>
      <c r="J80" s="16"/>
      <c r="K80" s="16"/>
      <c r="L80" s="16"/>
      <c r="M80" s="16"/>
      <c r="N80" s="16"/>
      <c r="O80" s="68"/>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c r="BF80" s="16"/>
      <c r="BG80" s="16"/>
      <c r="BH80" s="16"/>
    </row>
    <row r="81" spans="1:60" x14ac:dyDescent="0.25">
      <c r="A81" s="16"/>
      <c r="B81" s="16"/>
      <c r="C81" s="16"/>
      <c r="D81" s="16"/>
      <c r="E81" s="16"/>
      <c r="F81" s="16"/>
      <c r="G81" s="67"/>
      <c r="H81" s="16"/>
      <c r="I81" s="16"/>
      <c r="J81" s="16"/>
      <c r="K81" s="16"/>
      <c r="L81" s="16"/>
      <c r="M81" s="16"/>
      <c r="N81" s="16"/>
      <c r="O81" s="68"/>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16"/>
      <c r="BF81" s="16"/>
      <c r="BG81" s="16"/>
      <c r="BH81" s="16"/>
    </row>
    <row r="82" spans="1:60" x14ac:dyDescent="0.25">
      <c r="A82" s="16"/>
      <c r="B82" s="16"/>
      <c r="C82" s="16"/>
      <c r="D82" s="16"/>
      <c r="E82" s="16"/>
      <c r="F82" s="16"/>
      <c r="G82" s="67"/>
      <c r="H82" s="16"/>
      <c r="I82" s="16"/>
      <c r="J82" s="16"/>
      <c r="K82" s="16"/>
      <c r="L82" s="16"/>
      <c r="M82" s="16"/>
      <c r="N82" s="16"/>
      <c r="O82" s="68"/>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6"/>
      <c r="BE82" s="16"/>
      <c r="BF82" s="16"/>
      <c r="BG82" s="16"/>
      <c r="BH82" s="16"/>
    </row>
    <row r="83" spans="1:60" x14ac:dyDescent="0.25">
      <c r="A83" s="16"/>
      <c r="B83" s="16"/>
      <c r="C83" s="16"/>
      <c r="D83" s="16"/>
      <c r="E83" s="16"/>
      <c r="F83" s="16"/>
      <c r="G83" s="67"/>
      <c r="H83" s="16"/>
      <c r="I83" s="16"/>
      <c r="J83" s="16"/>
      <c r="K83" s="16"/>
      <c r="L83" s="16"/>
      <c r="M83" s="16"/>
      <c r="N83" s="16"/>
      <c r="O83" s="68"/>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6"/>
      <c r="BD83" s="16"/>
      <c r="BE83" s="16"/>
      <c r="BF83" s="16"/>
      <c r="BG83" s="16"/>
      <c r="BH83" s="16"/>
    </row>
    <row r="84" spans="1:60" x14ac:dyDescent="0.25">
      <c r="A84" s="16"/>
      <c r="B84" s="16"/>
      <c r="C84" s="16"/>
      <c r="D84" s="16"/>
      <c r="K84" s="16"/>
      <c r="L84" s="16"/>
      <c r="M84" s="16"/>
      <c r="N84" s="16"/>
      <c r="O84" s="68"/>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c r="BA84" s="16"/>
      <c r="BB84" s="16"/>
      <c r="BC84" s="16"/>
      <c r="BD84" s="16"/>
      <c r="BE84" s="16"/>
      <c r="BF84" s="16"/>
      <c r="BG84" s="16"/>
      <c r="BH84" s="16"/>
    </row>
    <row r="85" spans="1:60" x14ac:dyDescent="0.25">
      <c r="A85" s="16"/>
      <c r="B85" s="16"/>
      <c r="C85" s="16"/>
      <c r="D85" s="16"/>
    </row>
    <row r="86" spans="1:60" x14ac:dyDescent="0.25">
      <c r="A86" s="16"/>
      <c r="B86" s="16"/>
      <c r="C86" s="16"/>
      <c r="D86" s="16"/>
    </row>
  </sheetData>
  <sheetProtection algorithmName="SHA-512" hashValue="OUlNvdxNBc4A1+vcYB2rklHLtx/mLAoewKpL20y66dKZHHD2Q673jt4W5mOaPFjTep8fRr46SgIdapoBtKDYuQ==" saltValue="FxAhpcf14PnXAznIb2d5sQ==" spinCount="100000" sheet="1" objects="1" scenarios="1"/>
  <mergeCells count="7">
    <mergeCell ref="A16:B16"/>
    <mergeCell ref="T3:T4"/>
    <mergeCell ref="A28:D29"/>
    <mergeCell ref="U3:U4"/>
    <mergeCell ref="A1:C3"/>
    <mergeCell ref="F2:F3"/>
    <mergeCell ref="M2:M3"/>
  </mergeCells>
  <phoneticPr fontId="3"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6AD0E-B835-4EEC-AF8B-F83207487A22}">
  <sheetPr codeName="Sheet11"/>
  <dimension ref="A1:D277"/>
  <sheetViews>
    <sheetView topLeftCell="A151" workbookViewId="0">
      <selection activeCell="A162" sqref="A162:XFD162"/>
    </sheetView>
  </sheetViews>
  <sheetFormatPr defaultRowHeight="15" x14ac:dyDescent="0.25"/>
  <cols>
    <col min="1" max="1" width="59" bestFit="1" customWidth="1"/>
    <col min="2" max="2" width="30" bestFit="1" customWidth="1"/>
    <col min="3" max="3" width="29.7109375" bestFit="1" customWidth="1"/>
    <col min="4" max="4" width="18" customWidth="1"/>
  </cols>
  <sheetData>
    <row r="1" spans="1:4" ht="30" customHeight="1" x14ac:dyDescent="0.25">
      <c r="A1" s="187" t="s">
        <v>40</v>
      </c>
      <c r="B1" s="187" t="s">
        <v>191</v>
      </c>
      <c r="C1" s="187" t="s">
        <v>192</v>
      </c>
      <c r="D1" s="182" t="s">
        <v>193</v>
      </c>
    </row>
    <row r="2" spans="1:4" x14ac:dyDescent="0.25">
      <c r="A2" t="s">
        <v>194</v>
      </c>
      <c r="B2" t="s">
        <v>195</v>
      </c>
      <c r="C2" t="s">
        <v>196</v>
      </c>
    </row>
    <row r="3" spans="1:4" x14ac:dyDescent="0.25">
      <c r="A3" t="s">
        <v>194</v>
      </c>
      <c r="B3" t="s">
        <v>195</v>
      </c>
      <c r="C3" t="s">
        <v>197</v>
      </c>
    </row>
    <row r="4" spans="1:4" x14ac:dyDescent="0.25">
      <c r="A4" t="s">
        <v>194</v>
      </c>
      <c r="B4" t="s">
        <v>198</v>
      </c>
      <c r="C4" t="s">
        <v>199</v>
      </c>
    </row>
    <row r="5" spans="1:4" x14ac:dyDescent="0.25">
      <c r="A5" t="s">
        <v>194</v>
      </c>
      <c r="B5" t="s">
        <v>200</v>
      </c>
      <c r="C5" t="s">
        <v>201</v>
      </c>
    </row>
    <row r="6" spans="1:4" x14ac:dyDescent="0.25">
      <c r="A6" t="s">
        <v>194</v>
      </c>
      <c r="B6" t="s">
        <v>202</v>
      </c>
      <c r="C6" t="s">
        <v>203</v>
      </c>
    </row>
    <row r="7" spans="1:4" x14ac:dyDescent="0.25">
      <c r="A7" t="s">
        <v>194</v>
      </c>
      <c r="B7" t="s">
        <v>204</v>
      </c>
      <c r="C7" t="s">
        <v>205</v>
      </c>
    </row>
    <row r="8" spans="1:4" x14ac:dyDescent="0.25">
      <c r="A8" t="s">
        <v>194</v>
      </c>
      <c r="B8" t="s">
        <v>206</v>
      </c>
      <c r="C8" t="s">
        <v>207</v>
      </c>
    </row>
    <row r="9" spans="1:4" x14ac:dyDescent="0.25">
      <c r="A9" t="s">
        <v>194</v>
      </c>
      <c r="B9" t="s">
        <v>206</v>
      </c>
      <c r="C9" t="s">
        <v>208</v>
      </c>
    </row>
    <row r="10" spans="1:4" x14ac:dyDescent="0.25">
      <c r="A10" t="s">
        <v>194</v>
      </c>
      <c r="B10" t="s">
        <v>206</v>
      </c>
      <c r="C10" t="s">
        <v>209</v>
      </c>
    </row>
    <row r="11" spans="1:4" x14ac:dyDescent="0.25">
      <c r="A11" t="s">
        <v>194</v>
      </c>
      <c r="B11" t="s">
        <v>206</v>
      </c>
      <c r="C11" t="s">
        <v>210</v>
      </c>
    </row>
    <row r="12" spans="1:4" x14ac:dyDescent="0.25">
      <c r="A12" t="s">
        <v>194</v>
      </c>
      <c r="B12" t="s">
        <v>202</v>
      </c>
      <c r="C12" t="s">
        <v>211</v>
      </c>
    </row>
    <row r="13" spans="1:4" x14ac:dyDescent="0.25">
      <c r="A13" t="s">
        <v>194</v>
      </c>
      <c r="B13" t="s">
        <v>202</v>
      </c>
      <c r="C13" t="s">
        <v>212</v>
      </c>
    </row>
    <row r="14" spans="1:4" x14ac:dyDescent="0.25">
      <c r="A14" t="s">
        <v>194</v>
      </c>
      <c r="B14" t="s">
        <v>206</v>
      </c>
      <c r="C14" t="s">
        <v>213</v>
      </c>
    </row>
    <row r="15" spans="1:4" x14ac:dyDescent="0.25">
      <c r="A15" t="s">
        <v>194</v>
      </c>
      <c r="B15" t="s">
        <v>206</v>
      </c>
      <c r="C15" t="s">
        <v>214</v>
      </c>
    </row>
    <row r="16" spans="1:4" x14ac:dyDescent="0.25">
      <c r="A16" t="s">
        <v>215</v>
      </c>
      <c r="B16" t="s">
        <v>216</v>
      </c>
      <c r="C16" t="s">
        <v>217</v>
      </c>
    </row>
    <row r="17" spans="1:3" x14ac:dyDescent="0.25">
      <c r="A17" t="s">
        <v>218</v>
      </c>
      <c r="B17" t="s">
        <v>219</v>
      </c>
      <c r="C17" t="s">
        <v>220</v>
      </c>
    </row>
    <row r="18" spans="1:3" x14ac:dyDescent="0.25">
      <c r="A18" t="s">
        <v>218</v>
      </c>
      <c r="B18" t="s">
        <v>221</v>
      </c>
      <c r="C18" t="s">
        <v>222</v>
      </c>
    </row>
    <row r="19" spans="1:3" x14ac:dyDescent="0.25">
      <c r="A19" t="s">
        <v>218</v>
      </c>
      <c r="B19" t="s">
        <v>223</v>
      </c>
      <c r="C19" t="s">
        <v>224</v>
      </c>
    </row>
    <row r="20" spans="1:3" x14ac:dyDescent="0.25">
      <c r="A20" t="s">
        <v>218</v>
      </c>
      <c r="B20" t="s">
        <v>223</v>
      </c>
      <c r="C20" t="s">
        <v>225</v>
      </c>
    </row>
    <row r="21" spans="1:3" x14ac:dyDescent="0.25">
      <c r="A21" t="s">
        <v>218</v>
      </c>
      <c r="B21" t="s">
        <v>226</v>
      </c>
      <c r="C21" t="s">
        <v>227</v>
      </c>
    </row>
    <row r="22" spans="1:3" x14ac:dyDescent="0.25">
      <c r="A22" t="s">
        <v>218</v>
      </c>
      <c r="B22" t="s">
        <v>226</v>
      </c>
      <c r="C22" t="s">
        <v>228</v>
      </c>
    </row>
    <row r="23" spans="1:3" x14ac:dyDescent="0.25">
      <c r="A23" t="s">
        <v>218</v>
      </c>
      <c r="B23" t="s">
        <v>223</v>
      </c>
      <c r="C23" t="s">
        <v>229</v>
      </c>
    </row>
    <row r="24" spans="1:3" x14ac:dyDescent="0.25">
      <c r="A24" t="s">
        <v>218</v>
      </c>
      <c r="B24" t="s">
        <v>230</v>
      </c>
      <c r="C24" t="s">
        <v>231</v>
      </c>
    </row>
    <row r="25" spans="1:3" x14ac:dyDescent="0.25">
      <c r="A25" t="s">
        <v>218</v>
      </c>
      <c r="B25" t="s">
        <v>230</v>
      </c>
      <c r="C25" t="s">
        <v>232</v>
      </c>
    </row>
    <row r="26" spans="1:3" x14ac:dyDescent="0.25">
      <c r="A26" t="s">
        <v>218</v>
      </c>
      <c r="B26" t="s">
        <v>230</v>
      </c>
      <c r="C26" t="s">
        <v>233</v>
      </c>
    </row>
    <row r="27" spans="1:3" x14ac:dyDescent="0.25">
      <c r="A27" t="s">
        <v>218</v>
      </c>
      <c r="B27" t="s">
        <v>234</v>
      </c>
      <c r="C27" t="s">
        <v>235</v>
      </c>
    </row>
    <row r="28" spans="1:3" x14ac:dyDescent="0.25">
      <c r="A28" t="s">
        <v>218</v>
      </c>
      <c r="B28" t="s">
        <v>234</v>
      </c>
      <c r="C28" t="s">
        <v>236</v>
      </c>
    </row>
    <row r="29" spans="1:3" x14ac:dyDescent="0.25">
      <c r="A29" t="s">
        <v>218</v>
      </c>
      <c r="B29" t="s">
        <v>237</v>
      </c>
      <c r="C29" t="s">
        <v>238</v>
      </c>
    </row>
    <row r="30" spans="1:3" x14ac:dyDescent="0.25">
      <c r="A30" t="s">
        <v>218</v>
      </c>
      <c r="B30" t="s">
        <v>223</v>
      </c>
      <c r="C30" t="s">
        <v>239</v>
      </c>
    </row>
    <row r="31" spans="1:3" x14ac:dyDescent="0.25">
      <c r="A31" t="s">
        <v>240</v>
      </c>
      <c r="B31" t="s">
        <v>241</v>
      </c>
      <c r="C31" t="s">
        <v>242</v>
      </c>
    </row>
    <row r="32" spans="1:3" x14ac:dyDescent="0.25">
      <c r="A32" t="s">
        <v>240</v>
      </c>
      <c r="B32" t="s">
        <v>230</v>
      </c>
      <c r="C32" t="s">
        <v>243</v>
      </c>
    </row>
    <row r="33" spans="1:3" x14ac:dyDescent="0.25">
      <c r="A33" t="s">
        <v>240</v>
      </c>
      <c r="B33" t="s">
        <v>226</v>
      </c>
      <c r="C33" t="s">
        <v>244</v>
      </c>
    </row>
    <row r="34" spans="1:3" x14ac:dyDescent="0.25">
      <c r="A34" t="s">
        <v>240</v>
      </c>
      <c r="B34" t="s">
        <v>230</v>
      </c>
      <c r="C34" t="s">
        <v>245</v>
      </c>
    </row>
    <row r="35" spans="1:3" x14ac:dyDescent="0.25">
      <c r="A35" t="s">
        <v>240</v>
      </c>
      <c r="B35" t="s">
        <v>246</v>
      </c>
      <c r="C35" t="s">
        <v>247</v>
      </c>
    </row>
    <row r="36" spans="1:3" x14ac:dyDescent="0.25">
      <c r="A36" t="s">
        <v>240</v>
      </c>
      <c r="B36" t="s">
        <v>226</v>
      </c>
      <c r="C36" t="s">
        <v>248</v>
      </c>
    </row>
    <row r="37" spans="1:3" x14ac:dyDescent="0.25">
      <c r="A37" t="s">
        <v>240</v>
      </c>
      <c r="B37" t="s">
        <v>226</v>
      </c>
      <c r="C37" t="s">
        <v>249</v>
      </c>
    </row>
    <row r="38" spans="1:3" x14ac:dyDescent="0.25">
      <c r="A38" t="s">
        <v>240</v>
      </c>
      <c r="B38" t="s">
        <v>226</v>
      </c>
      <c r="C38" t="s">
        <v>250</v>
      </c>
    </row>
    <row r="39" spans="1:3" x14ac:dyDescent="0.25">
      <c r="A39" t="s">
        <v>240</v>
      </c>
      <c r="B39" t="s">
        <v>230</v>
      </c>
      <c r="C39" t="s">
        <v>251</v>
      </c>
    </row>
    <row r="40" spans="1:3" x14ac:dyDescent="0.25">
      <c r="A40" t="s">
        <v>240</v>
      </c>
      <c r="B40" t="s">
        <v>226</v>
      </c>
      <c r="C40" t="s">
        <v>252</v>
      </c>
    </row>
    <row r="41" spans="1:3" x14ac:dyDescent="0.25">
      <c r="A41" t="s">
        <v>240</v>
      </c>
      <c r="B41" t="s">
        <v>226</v>
      </c>
      <c r="C41" t="s">
        <v>253</v>
      </c>
    </row>
    <row r="42" spans="1:3" x14ac:dyDescent="0.25">
      <c r="A42" t="s">
        <v>240</v>
      </c>
      <c r="B42" t="s">
        <v>254</v>
      </c>
      <c r="C42" t="s">
        <v>255</v>
      </c>
    </row>
    <row r="43" spans="1:3" x14ac:dyDescent="0.25">
      <c r="A43" t="s">
        <v>240</v>
      </c>
      <c r="B43" t="s">
        <v>226</v>
      </c>
      <c r="C43" t="s">
        <v>256</v>
      </c>
    </row>
    <row r="44" spans="1:3" x14ac:dyDescent="0.25">
      <c r="A44" t="s">
        <v>240</v>
      </c>
      <c r="B44" t="s">
        <v>257</v>
      </c>
      <c r="C44" t="s">
        <v>258</v>
      </c>
    </row>
    <row r="45" spans="1:3" x14ac:dyDescent="0.25">
      <c r="A45" t="s">
        <v>240</v>
      </c>
      <c r="B45" t="s">
        <v>259</v>
      </c>
      <c r="C45" t="s">
        <v>260</v>
      </c>
    </row>
    <row r="46" spans="1:3" x14ac:dyDescent="0.25">
      <c r="A46" t="s">
        <v>240</v>
      </c>
      <c r="B46" t="s">
        <v>261</v>
      </c>
      <c r="C46" t="s">
        <v>262</v>
      </c>
    </row>
    <row r="47" spans="1:3" x14ac:dyDescent="0.25">
      <c r="A47" t="s">
        <v>240</v>
      </c>
      <c r="B47" t="s">
        <v>254</v>
      </c>
      <c r="C47" t="s">
        <v>263</v>
      </c>
    </row>
    <row r="48" spans="1:3" x14ac:dyDescent="0.25">
      <c r="A48" t="s">
        <v>240</v>
      </c>
      <c r="B48" t="s">
        <v>261</v>
      </c>
      <c r="C48" t="s">
        <v>264</v>
      </c>
    </row>
    <row r="49" spans="1:3" x14ac:dyDescent="0.25">
      <c r="A49" t="s">
        <v>240</v>
      </c>
      <c r="B49" t="s">
        <v>257</v>
      </c>
      <c r="C49" t="s">
        <v>265</v>
      </c>
    </row>
    <row r="50" spans="1:3" x14ac:dyDescent="0.25">
      <c r="A50" t="s">
        <v>240</v>
      </c>
      <c r="B50" t="s">
        <v>230</v>
      </c>
      <c r="C50" t="s">
        <v>266</v>
      </c>
    </row>
    <row r="51" spans="1:3" x14ac:dyDescent="0.25">
      <c r="A51" t="s">
        <v>240</v>
      </c>
      <c r="B51" t="s">
        <v>267</v>
      </c>
      <c r="C51" t="s">
        <v>268</v>
      </c>
    </row>
    <row r="52" spans="1:3" x14ac:dyDescent="0.25">
      <c r="A52" t="s">
        <v>269</v>
      </c>
      <c r="B52" t="s">
        <v>270</v>
      </c>
      <c r="C52" t="s">
        <v>271</v>
      </c>
    </row>
    <row r="53" spans="1:3" x14ac:dyDescent="0.25">
      <c r="A53" t="s">
        <v>269</v>
      </c>
      <c r="B53" t="s">
        <v>272</v>
      </c>
      <c r="C53" t="s">
        <v>273</v>
      </c>
    </row>
    <row r="54" spans="1:3" x14ac:dyDescent="0.25">
      <c r="A54" t="s">
        <v>269</v>
      </c>
      <c r="B54" t="s">
        <v>274</v>
      </c>
      <c r="C54" t="s">
        <v>275</v>
      </c>
    </row>
    <row r="55" spans="1:3" x14ac:dyDescent="0.25">
      <c r="A55" t="s">
        <v>269</v>
      </c>
      <c r="B55" t="s">
        <v>274</v>
      </c>
      <c r="C55" t="s">
        <v>276</v>
      </c>
    </row>
    <row r="56" spans="1:3" x14ac:dyDescent="0.25">
      <c r="A56" t="s">
        <v>269</v>
      </c>
      <c r="B56" t="s">
        <v>274</v>
      </c>
      <c r="C56" t="s">
        <v>277</v>
      </c>
    </row>
    <row r="57" spans="1:3" x14ac:dyDescent="0.25">
      <c r="A57" t="s">
        <v>269</v>
      </c>
      <c r="B57" t="s">
        <v>98</v>
      </c>
      <c r="C57" t="s">
        <v>278</v>
      </c>
    </row>
    <row r="58" spans="1:3" x14ac:dyDescent="0.25">
      <c r="A58" t="s">
        <v>269</v>
      </c>
      <c r="B58" t="s">
        <v>270</v>
      </c>
      <c r="C58" t="s">
        <v>279</v>
      </c>
    </row>
    <row r="59" spans="1:3" x14ac:dyDescent="0.25">
      <c r="A59" t="s">
        <v>269</v>
      </c>
      <c r="B59" t="s">
        <v>280</v>
      </c>
      <c r="C59" t="s">
        <v>281</v>
      </c>
    </row>
    <row r="60" spans="1:3" x14ac:dyDescent="0.25">
      <c r="A60" t="s">
        <v>269</v>
      </c>
      <c r="B60" t="s">
        <v>241</v>
      </c>
      <c r="C60" t="s">
        <v>282</v>
      </c>
    </row>
    <row r="61" spans="1:3" x14ac:dyDescent="0.25">
      <c r="A61" t="s">
        <v>269</v>
      </c>
      <c r="B61" t="s">
        <v>98</v>
      </c>
      <c r="C61" t="s">
        <v>283</v>
      </c>
    </row>
    <row r="62" spans="1:3" x14ac:dyDescent="0.25">
      <c r="A62" t="s">
        <v>269</v>
      </c>
      <c r="B62" t="s">
        <v>226</v>
      </c>
      <c r="C62" t="s">
        <v>284</v>
      </c>
    </row>
    <row r="63" spans="1:3" x14ac:dyDescent="0.25">
      <c r="A63" t="s">
        <v>269</v>
      </c>
      <c r="B63" t="s">
        <v>226</v>
      </c>
      <c r="C63" t="s">
        <v>285</v>
      </c>
    </row>
    <row r="64" spans="1:3" x14ac:dyDescent="0.25">
      <c r="A64" t="s">
        <v>269</v>
      </c>
      <c r="B64" t="s">
        <v>226</v>
      </c>
      <c r="C64" t="s">
        <v>286</v>
      </c>
    </row>
    <row r="65" spans="1:3" x14ac:dyDescent="0.25">
      <c r="A65" t="s">
        <v>269</v>
      </c>
      <c r="B65" t="s">
        <v>226</v>
      </c>
      <c r="C65" t="s">
        <v>287</v>
      </c>
    </row>
    <row r="66" spans="1:3" x14ac:dyDescent="0.25">
      <c r="A66" t="s">
        <v>269</v>
      </c>
      <c r="B66" t="s">
        <v>226</v>
      </c>
      <c r="C66" t="s">
        <v>288</v>
      </c>
    </row>
    <row r="67" spans="1:3" x14ac:dyDescent="0.25">
      <c r="A67" t="s">
        <v>269</v>
      </c>
      <c r="B67" t="s">
        <v>226</v>
      </c>
      <c r="C67" t="s">
        <v>289</v>
      </c>
    </row>
    <row r="68" spans="1:3" x14ac:dyDescent="0.25">
      <c r="A68" t="s">
        <v>269</v>
      </c>
      <c r="B68" t="s">
        <v>226</v>
      </c>
      <c r="C68" t="s">
        <v>290</v>
      </c>
    </row>
    <row r="69" spans="1:3" x14ac:dyDescent="0.25">
      <c r="A69" t="s">
        <v>269</v>
      </c>
      <c r="B69" t="s">
        <v>291</v>
      </c>
      <c r="C69" t="s">
        <v>292</v>
      </c>
    </row>
    <row r="70" spans="1:3" x14ac:dyDescent="0.25">
      <c r="A70" t="s">
        <v>269</v>
      </c>
      <c r="B70" t="s">
        <v>291</v>
      </c>
      <c r="C70" t="s">
        <v>293</v>
      </c>
    </row>
    <row r="71" spans="1:3" x14ac:dyDescent="0.25">
      <c r="A71" t="s">
        <v>269</v>
      </c>
      <c r="B71" t="s">
        <v>294</v>
      </c>
      <c r="C71" t="s">
        <v>295</v>
      </c>
    </row>
    <row r="72" spans="1:3" x14ac:dyDescent="0.25">
      <c r="A72" t="s">
        <v>269</v>
      </c>
      <c r="B72" t="s">
        <v>98</v>
      </c>
      <c r="C72" t="s">
        <v>296</v>
      </c>
    </row>
    <row r="73" spans="1:3" x14ac:dyDescent="0.25">
      <c r="A73" t="s">
        <v>269</v>
      </c>
      <c r="B73" t="s">
        <v>230</v>
      </c>
      <c r="C73" t="s">
        <v>297</v>
      </c>
    </row>
    <row r="74" spans="1:3" x14ac:dyDescent="0.25">
      <c r="A74" t="s">
        <v>269</v>
      </c>
      <c r="B74" t="s">
        <v>280</v>
      </c>
      <c r="C74" t="s">
        <v>298</v>
      </c>
    </row>
    <row r="75" spans="1:3" x14ac:dyDescent="0.25">
      <c r="A75" t="s">
        <v>269</v>
      </c>
      <c r="B75" t="s">
        <v>274</v>
      </c>
      <c r="C75" t="s">
        <v>299</v>
      </c>
    </row>
    <row r="76" spans="1:3" x14ac:dyDescent="0.25">
      <c r="A76" t="s">
        <v>94</v>
      </c>
      <c r="B76" t="s">
        <v>216</v>
      </c>
      <c r="C76" t="s">
        <v>300</v>
      </c>
    </row>
    <row r="77" spans="1:3" x14ac:dyDescent="0.25">
      <c r="A77" t="s">
        <v>94</v>
      </c>
      <c r="B77" t="s">
        <v>301</v>
      </c>
      <c r="C77" t="s">
        <v>302</v>
      </c>
    </row>
    <row r="78" spans="1:3" x14ac:dyDescent="0.25">
      <c r="A78" t="s">
        <v>94</v>
      </c>
      <c r="B78" t="s">
        <v>241</v>
      </c>
      <c r="C78" t="s">
        <v>303</v>
      </c>
    </row>
    <row r="79" spans="1:3" x14ac:dyDescent="0.25">
      <c r="A79" t="s">
        <v>94</v>
      </c>
      <c r="B79" t="s">
        <v>301</v>
      </c>
      <c r="C79" t="s">
        <v>304</v>
      </c>
    </row>
    <row r="80" spans="1:3" x14ac:dyDescent="0.25">
      <c r="A80" t="s">
        <v>94</v>
      </c>
      <c r="B80" t="s">
        <v>305</v>
      </c>
      <c r="C80" t="s">
        <v>306</v>
      </c>
    </row>
    <row r="81" spans="1:3" x14ac:dyDescent="0.25">
      <c r="A81" t="s">
        <v>94</v>
      </c>
      <c r="B81" t="s">
        <v>307</v>
      </c>
      <c r="C81" t="s">
        <v>308</v>
      </c>
    </row>
    <row r="82" spans="1:3" x14ac:dyDescent="0.25">
      <c r="A82" t="s">
        <v>94</v>
      </c>
      <c r="B82" t="s">
        <v>309</v>
      </c>
      <c r="C82" t="s">
        <v>310</v>
      </c>
    </row>
    <row r="83" spans="1:3" x14ac:dyDescent="0.25">
      <c r="A83" t="s">
        <v>311</v>
      </c>
      <c r="B83" t="s">
        <v>309</v>
      </c>
      <c r="C83" t="s">
        <v>312</v>
      </c>
    </row>
    <row r="84" spans="1:3" x14ac:dyDescent="0.25">
      <c r="A84" t="s">
        <v>311</v>
      </c>
      <c r="B84" t="s">
        <v>313</v>
      </c>
      <c r="C84" t="s">
        <v>314</v>
      </c>
    </row>
    <row r="85" spans="1:3" x14ac:dyDescent="0.25">
      <c r="A85" t="s">
        <v>311</v>
      </c>
      <c r="B85" t="s">
        <v>301</v>
      </c>
      <c r="C85" t="s">
        <v>315</v>
      </c>
    </row>
    <row r="86" spans="1:3" x14ac:dyDescent="0.25">
      <c r="A86" t="s">
        <v>311</v>
      </c>
      <c r="B86" t="s">
        <v>307</v>
      </c>
      <c r="C86" t="s">
        <v>316</v>
      </c>
    </row>
    <row r="87" spans="1:3" x14ac:dyDescent="0.25">
      <c r="A87" t="s">
        <v>317</v>
      </c>
      <c r="B87" t="s">
        <v>241</v>
      </c>
      <c r="C87" t="s">
        <v>318</v>
      </c>
    </row>
    <row r="88" spans="1:3" x14ac:dyDescent="0.25">
      <c r="A88" t="s">
        <v>317</v>
      </c>
      <c r="B88" t="s">
        <v>246</v>
      </c>
      <c r="C88" t="s">
        <v>319</v>
      </c>
    </row>
    <row r="89" spans="1:3" x14ac:dyDescent="0.25">
      <c r="A89" t="s">
        <v>317</v>
      </c>
      <c r="B89" t="s">
        <v>320</v>
      </c>
      <c r="C89" t="s">
        <v>321</v>
      </c>
    </row>
    <row r="90" spans="1:3" x14ac:dyDescent="0.25">
      <c r="A90" t="s">
        <v>317</v>
      </c>
      <c r="B90" t="s">
        <v>246</v>
      </c>
      <c r="C90" t="s">
        <v>322</v>
      </c>
    </row>
    <row r="91" spans="1:3" x14ac:dyDescent="0.25">
      <c r="A91" t="s">
        <v>317</v>
      </c>
      <c r="B91" t="s">
        <v>307</v>
      </c>
      <c r="C91" t="s">
        <v>323</v>
      </c>
    </row>
    <row r="92" spans="1:3" x14ac:dyDescent="0.25">
      <c r="A92" t="s">
        <v>317</v>
      </c>
      <c r="B92" t="s">
        <v>241</v>
      </c>
      <c r="C92" t="s">
        <v>324</v>
      </c>
    </row>
    <row r="93" spans="1:3" x14ac:dyDescent="0.25">
      <c r="A93" t="s">
        <v>325</v>
      </c>
      <c r="B93" t="s">
        <v>320</v>
      </c>
      <c r="C93" t="s">
        <v>326</v>
      </c>
    </row>
    <row r="94" spans="1:3" x14ac:dyDescent="0.25">
      <c r="A94" t="s">
        <v>325</v>
      </c>
      <c r="B94" t="s">
        <v>272</v>
      </c>
      <c r="C94" t="s">
        <v>327</v>
      </c>
    </row>
    <row r="95" spans="1:3" x14ac:dyDescent="0.25">
      <c r="A95" t="s">
        <v>325</v>
      </c>
      <c r="B95" t="s">
        <v>328</v>
      </c>
      <c r="C95" t="s">
        <v>329</v>
      </c>
    </row>
    <row r="96" spans="1:3" x14ac:dyDescent="0.25">
      <c r="A96" t="s">
        <v>325</v>
      </c>
      <c r="B96" t="s">
        <v>270</v>
      </c>
      <c r="C96" t="s">
        <v>330</v>
      </c>
    </row>
    <row r="97" spans="1:3" x14ac:dyDescent="0.25">
      <c r="A97" t="s">
        <v>325</v>
      </c>
      <c r="B97" t="s">
        <v>331</v>
      </c>
      <c r="C97" t="s">
        <v>332</v>
      </c>
    </row>
    <row r="98" spans="1:3" x14ac:dyDescent="0.25">
      <c r="A98" t="s">
        <v>325</v>
      </c>
      <c r="B98" t="s">
        <v>221</v>
      </c>
      <c r="C98" t="s">
        <v>333</v>
      </c>
    </row>
    <row r="99" spans="1:3" x14ac:dyDescent="0.25">
      <c r="A99" t="s">
        <v>97</v>
      </c>
      <c r="B99" t="s">
        <v>274</v>
      </c>
      <c r="C99" t="s">
        <v>334</v>
      </c>
    </row>
    <row r="100" spans="1:3" x14ac:dyDescent="0.25">
      <c r="A100" t="s">
        <v>97</v>
      </c>
      <c r="B100" t="s">
        <v>301</v>
      </c>
      <c r="C100" t="s">
        <v>335</v>
      </c>
    </row>
    <row r="101" spans="1:3" x14ac:dyDescent="0.25">
      <c r="A101" t="s">
        <v>97</v>
      </c>
      <c r="B101" t="s">
        <v>301</v>
      </c>
      <c r="C101" t="s">
        <v>336</v>
      </c>
    </row>
    <row r="102" spans="1:3" x14ac:dyDescent="0.25">
      <c r="A102" t="s">
        <v>97</v>
      </c>
      <c r="B102" t="s">
        <v>337</v>
      </c>
      <c r="C102" t="s">
        <v>338</v>
      </c>
    </row>
    <row r="103" spans="1:3" x14ac:dyDescent="0.25">
      <c r="A103" t="s">
        <v>97</v>
      </c>
      <c r="B103" t="s">
        <v>272</v>
      </c>
      <c r="C103" t="s">
        <v>339</v>
      </c>
    </row>
    <row r="104" spans="1:3" x14ac:dyDescent="0.25">
      <c r="A104" t="s">
        <v>97</v>
      </c>
      <c r="B104" t="s">
        <v>254</v>
      </c>
      <c r="C104" t="s">
        <v>340</v>
      </c>
    </row>
    <row r="105" spans="1:3" x14ac:dyDescent="0.25">
      <c r="A105" t="s">
        <v>97</v>
      </c>
      <c r="B105" t="s">
        <v>280</v>
      </c>
      <c r="C105" t="s">
        <v>341</v>
      </c>
    </row>
    <row r="106" spans="1:3" x14ac:dyDescent="0.25">
      <c r="A106" t="s">
        <v>97</v>
      </c>
      <c r="B106" t="s">
        <v>291</v>
      </c>
      <c r="C106" t="s">
        <v>342</v>
      </c>
    </row>
    <row r="107" spans="1:3" x14ac:dyDescent="0.25">
      <c r="A107" t="s">
        <v>97</v>
      </c>
      <c r="B107" t="s">
        <v>98</v>
      </c>
      <c r="C107" t="s">
        <v>99</v>
      </c>
    </row>
    <row r="108" spans="1:3" x14ac:dyDescent="0.25">
      <c r="A108" t="s">
        <v>97</v>
      </c>
      <c r="B108" t="s">
        <v>313</v>
      </c>
      <c r="C108" t="s">
        <v>343</v>
      </c>
    </row>
    <row r="109" spans="1:3" x14ac:dyDescent="0.25">
      <c r="A109" t="s">
        <v>97</v>
      </c>
      <c r="B109" t="s">
        <v>216</v>
      </c>
      <c r="C109" t="s">
        <v>344</v>
      </c>
    </row>
    <row r="110" spans="1:3" x14ac:dyDescent="0.25">
      <c r="A110" t="s">
        <v>97</v>
      </c>
      <c r="B110" t="s">
        <v>219</v>
      </c>
      <c r="C110" t="s">
        <v>345</v>
      </c>
    </row>
    <row r="111" spans="1:3" x14ac:dyDescent="0.25">
      <c r="A111" t="s">
        <v>346</v>
      </c>
      <c r="B111" t="s">
        <v>216</v>
      </c>
      <c r="C111" t="s">
        <v>347</v>
      </c>
    </row>
    <row r="112" spans="1:3" x14ac:dyDescent="0.25">
      <c r="A112" t="s">
        <v>346</v>
      </c>
      <c r="B112" t="s">
        <v>219</v>
      </c>
      <c r="C112" t="s">
        <v>348</v>
      </c>
    </row>
    <row r="113" spans="1:3" x14ac:dyDescent="0.25">
      <c r="A113" t="s">
        <v>346</v>
      </c>
      <c r="B113" t="s">
        <v>349</v>
      </c>
      <c r="C113" t="s">
        <v>350</v>
      </c>
    </row>
    <row r="114" spans="1:3" x14ac:dyDescent="0.25">
      <c r="A114" t="s">
        <v>346</v>
      </c>
      <c r="B114" t="s">
        <v>272</v>
      </c>
      <c r="C114" t="s">
        <v>351</v>
      </c>
    </row>
    <row r="115" spans="1:3" x14ac:dyDescent="0.25">
      <c r="A115" t="s">
        <v>346</v>
      </c>
      <c r="B115" t="s">
        <v>95</v>
      </c>
      <c r="C115" t="s">
        <v>352</v>
      </c>
    </row>
    <row r="116" spans="1:3" x14ac:dyDescent="0.25">
      <c r="A116" t="s">
        <v>353</v>
      </c>
      <c r="B116" t="s">
        <v>307</v>
      </c>
      <c r="C116" t="s">
        <v>354</v>
      </c>
    </row>
    <row r="117" spans="1:3" x14ac:dyDescent="0.25">
      <c r="A117" t="s">
        <v>355</v>
      </c>
      <c r="B117" t="s">
        <v>95</v>
      </c>
      <c r="C117" t="s">
        <v>356</v>
      </c>
    </row>
    <row r="118" spans="1:3" x14ac:dyDescent="0.25">
      <c r="A118" t="s">
        <v>357</v>
      </c>
      <c r="B118" t="s">
        <v>358</v>
      </c>
      <c r="C118" t="s">
        <v>359</v>
      </c>
    </row>
    <row r="119" spans="1:3" x14ac:dyDescent="0.25">
      <c r="A119" t="s">
        <v>360</v>
      </c>
      <c r="B119" t="s">
        <v>313</v>
      </c>
      <c r="C119" t="s">
        <v>361</v>
      </c>
    </row>
    <row r="120" spans="1:3" x14ac:dyDescent="0.25">
      <c r="A120" t="s">
        <v>360</v>
      </c>
      <c r="B120" t="s">
        <v>272</v>
      </c>
      <c r="C120" t="s">
        <v>362</v>
      </c>
    </row>
    <row r="121" spans="1:3" x14ac:dyDescent="0.25">
      <c r="A121" t="s">
        <v>360</v>
      </c>
      <c r="B121" t="s">
        <v>307</v>
      </c>
      <c r="C121" t="s">
        <v>363</v>
      </c>
    </row>
    <row r="122" spans="1:3" x14ac:dyDescent="0.25">
      <c r="A122" t="s">
        <v>360</v>
      </c>
      <c r="B122" t="s">
        <v>219</v>
      </c>
      <c r="C122" t="s">
        <v>364</v>
      </c>
    </row>
    <row r="123" spans="1:3" x14ac:dyDescent="0.25">
      <c r="A123" t="s">
        <v>360</v>
      </c>
      <c r="B123" t="s">
        <v>216</v>
      </c>
      <c r="C123" t="s">
        <v>365</v>
      </c>
    </row>
    <row r="124" spans="1:3" x14ac:dyDescent="0.25">
      <c r="A124" t="s">
        <v>360</v>
      </c>
      <c r="B124" t="s">
        <v>216</v>
      </c>
      <c r="C124" t="s">
        <v>366</v>
      </c>
    </row>
    <row r="125" spans="1:3" x14ac:dyDescent="0.25">
      <c r="A125" t="s">
        <v>360</v>
      </c>
      <c r="B125" t="s">
        <v>272</v>
      </c>
      <c r="C125" t="s">
        <v>367</v>
      </c>
    </row>
    <row r="126" spans="1:3" x14ac:dyDescent="0.25">
      <c r="A126" t="s">
        <v>360</v>
      </c>
      <c r="B126" t="s">
        <v>313</v>
      </c>
      <c r="C126" t="s">
        <v>368</v>
      </c>
    </row>
    <row r="127" spans="1:3" x14ac:dyDescent="0.25">
      <c r="A127" t="s">
        <v>360</v>
      </c>
      <c r="B127" t="s">
        <v>313</v>
      </c>
      <c r="C127" t="s">
        <v>369</v>
      </c>
    </row>
    <row r="128" spans="1:3" x14ac:dyDescent="0.25">
      <c r="A128" t="s">
        <v>360</v>
      </c>
      <c r="B128" t="s">
        <v>313</v>
      </c>
      <c r="C128" t="s">
        <v>370</v>
      </c>
    </row>
    <row r="129" spans="1:3" x14ac:dyDescent="0.25">
      <c r="A129" t="s">
        <v>360</v>
      </c>
      <c r="B129" t="s">
        <v>241</v>
      </c>
      <c r="C129" t="s">
        <v>371</v>
      </c>
    </row>
    <row r="130" spans="1:3" x14ac:dyDescent="0.25">
      <c r="A130" t="s">
        <v>360</v>
      </c>
      <c r="B130" t="s">
        <v>241</v>
      </c>
      <c r="C130" t="s">
        <v>372</v>
      </c>
    </row>
    <row r="131" spans="1:3" x14ac:dyDescent="0.25">
      <c r="A131" t="s">
        <v>373</v>
      </c>
      <c r="B131" t="s">
        <v>216</v>
      </c>
      <c r="C131" t="s">
        <v>374</v>
      </c>
    </row>
    <row r="132" spans="1:3" x14ac:dyDescent="0.25">
      <c r="A132" t="s">
        <v>375</v>
      </c>
      <c r="B132" t="s">
        <v>376</v>
      </c>
      <c r="C132" t="s">
        <v>377</v>
      </c>
    </row>
    <row r="133" spans="1:3" x14ac:dyDescent="0.25">
      <c r="A133" t="s">
        <v>378</v>
      </c>
      <c r="B133" t="s">
        <v>307</v>
      </c>
      <c r="C133" t="s">
        <v>379</v>
      </c>
    </row>
    <row r="134" spans="1:3" x14ac:dyDescent="0.25">
      <c r="A134" t="s">
        <v>378</v>
      </c>
      <c r="B134" t="s">
        <v>219</v>
      </c>
      <c r="C134" t="s">
        <v>380</v>
      </c>
    </row>
    <row r="135" spans="1:3" x14ac:dyDescent="0.25">
      <c r="A135" t="s">
        <v>378</v>
      </c>
      <c r="B135" t="s">
        <v>381</v>
      </c>
      <c r="C135" t="s">
        <v>382</v>
      </c>
    </row>
    <row r="136" spans="1:3" x14ac:dyDescent="0.25">
      <c r="A136" t="s">
        <v>378</v>
      </c>
      <c r="B136" t="s">
        <v>307</v>
      </c>
      <c r="C136" t="s">
        <v>383</v>
      </c>
    </row>
    <row r="137" spans="1:3" x14ac:dyDescent="0.25">
      <c r="A137" t="s">
        <v>378</v>
      </c>
      <c r="B137" t="s">
        <v>219</v>
      </c>
      <c r="C137" t="s">
        <v>384</v>
      </c>
    </row>
    <row r="138" spans="1:3" x14ac:dyDescent="0.25">
      <c r="A138" t="s">
        <v>378</v>
      </c>
      <c r="B138" t="s">
        <v>241</v>
      </c>
      <c r="C138" t="s">
        <v>385</v>
      </c>
    </row>
    <row r="139" spans="1:3" x14ac:dyDescent="0.25">
      <c r="A139" t="s">
        <v>378</v>
      </c>
      <c r="B139" t="s">
        <v>200</v>
      </c>
      <c r="C139" t="s">
        <v>386</v>
      </c>
    </row>
    <row r="140" spans="1:3" x14ac:dyDescent="0.25">
      <c r="A140" t="s">
        <v>378</v>
      </c>
      <c r="B140" t="s">
        <v>320</v>
      </c>
      <c r="C140" t="s">
        <v>387</v>
      </c>
    </row>
    <row r="141" spans="1:3" x14ac:dyDescent="0.25">
      <c r="A141" t="s">
        <v>378</v>
      </c>
      <c r="B141" t="s">
        <v>307</v>
      </c>
      <c r="C141" t="s">
        <v>388</v>
      </c>
    </row>
    <row r="142" spans="1:3" x14ac:dyDescent="0.25">
      <c r="A142" t="s">
        <v>378</v>
      </c>
      <c r="B142" t="s">
        <v>272</v>
      </c>
      <c r="C142" t="s">
        <v>389</v>
      </c>
    </row>
    <row r="143" spans="1:3" x14ac:dyDescent="0.25">
      <c r="A143" t="s">
        <v>378</v>
      </c>
      <c r="B143" t="s">
        <v>320</v>
      </c>
      <c r="C143" t="s">
        <v>390</v>
      </c>
    </row>
    <row r="144" spans="1:3" x14ac:dyDescent="0.25">
      <c r="A144" t="s">
        <v>378</v>
      </c>
      <c r="B144" t="s">
        <v>313</v>
      </c>
      <c r="C144" t="s">
        <v>391</v>
      </c>
    </row>
    <row r="145" spans="1:3" x14ac:dyDescent="0.25">
      <c r="A145" t="s">
        <v>378</v>
      </c>
      <c r="B145" t="s">
        <v>216</v>
      </c>
      <c r="C145" t="s">
        <v>392</v>
      </c>
    </row>
    <row r="146" spans="1:3" x14ac:dyDescent="0.25">
      <c r="A146" t="s">
        <v>378</v>
      </c>
      <c r="B146" t="s">
        <v>307</v>
      </c>
      <c r="C146" t="s">
        <v>393</v>
      </c>
    </row>
    <row r="147" spans="1:3" x14ac:dyDescent="0.25">
      <c r="A147" t="s">
        <v>378</v>
      </c>
      <c r="B147" t="s">
        <v>313</v>
      </c>
      <c r="C147" t="s">
        <v>394</v>
      </c>
    </row>
    <row r="148" spans="1:3" x14ac:dyDescent="0.25">
      <c r="A148" t="s">
        <v>378</v>
      </c>
      <c r="B148" t="s">
        <v>313</v>
      </c>
      <c r="C148" t="s">
        <v>395</v>
      </c>
    </row>
    <row r="149" spans="1:3" x14ac:dyDescent="0.25">
      <c r="A149" t="s">
        <v>378</v>
      </c>
      <c r="B149" t="s">
        <v>313</v>
      </c>
      <c r="C149" t="s">
        <v>396</v>
      </c>
    </row>
    <row r="150" spans="1:3" x14ac:dyDescent="0.25">
      <c r="A150" t="s">
        <v>378</v>
      </c>
      <c r="B150" t="s">
        <v>272</v>
      </c>
      <c r="C150" t="s">
        <v>397</v>
      </c>
    </row>
    <row r="151" spans="1:3" x14ac:dyDescent="0.25">
      <c r="A151" t="s">
        <v>378</v>
      </c>
      <c r="B151" t="s">
        <v>216</v>
      </c>
      <c r="C151" t="s">
        <v>398</v>
      </c>
    </row>
    <row r="152" spans="1:3" x14ac:dyDescent="0.25">
      <c r="A152" t="s">
        <v>378</v>
      </c>
      <c r="B152" t="s">
        <v>307</v>
      </c>
      <c r="C152" t="s">
        <v>399</v>
      </c>
    </row>
    <row r="153" spans="1:3" x14ac:dyDescent="0.25">
      <c r="A153" t="s">
        <v>378</v>
      </c>
      <c r="B153" t="s">
        <v>307</v>
      </c>
      <c r="C153" t="s">
        <v>400</v>
      </c>
    </row>
    <row r="154" spans="1:3" x14ac:dyDescent="0.25">
      <c r="A154" t="s">
        <v>378</v>
      </c>
      <c r="B154" t="s">
        <v>307</v>
      </c>
      <c r="C154" t="s">
        <v>401</v>
      </c>
    </row>
    <row r="155" spans="1:3" x14ac:dyDescent="0.25">
      <c r="A155" t="s">
        <v>378</v>
      </c>
      <c r="B155" t="s">
        <v>307</v>
      </c>
      <c r="C155" t="s">
        <v>402</v>
      </c>
    </row>
    <row r="156" spans="1:3" x14ac:dyDescent="0.25">
      <c r="A156" t="s">
        <v>403</v>
      </c>
      <c r="B156" t="s">
        <v>200</v>
      </c>
      <c r="C156" t="s">
        <v>404</v>
      </c>
    </row>
    <row r="157" spans="1:3" x14ac:dyDescent="0.25">
      <c r="A157" t="s">
        <v>403</v>
      </c>
      <c r="B157" t="s">
        <v>95</v>
      </c>
      <c r="C157" t="s">
        <v>405</v>
      </c>
    </row>
    <row r="158" spans="1:3" x14ac:dyDescent="0.25">
      <c r="A158" t="s">
        <v>403</v>
      </c>
      <c r="B158" t="s">
        <v>95</v>
      </c>
      <c r="C158" t="s">
        <v>406</v>
      </c>
    </row>
    <row r="159" spans="1:3" x14ac:dyDescent="0.25">
      <c r="A159" t="s">
        <v>94</v>
      </c>
      <c r="B159" t="s">
        <v>407</v>
      </c>
      <c r="C159" t="s">
        <v>408</v>
      </c>
    </row>
    <row r="160" spans="1:3" x14ac:dyDescent="0.25">
      <c r="A160" t="s">
        <v>94</v>
      </c>
      <c r="B160" t="s">
        <v>200</v>
      </c>
      <c r="C160" t="s">
        <v>409</v>
      </c>
    </row>
    <row r="161" spans="1:3" x14ac:dyDescent="0.25">
      <c r="A161" t="s">
        <v>94</v>
      </c>
      <c r="B161" t="s">
        <v>95</v>
      </c>
      <c r="C161" t="s">
        <v>410</v>
      </c>
    </row>
    <row r="162" spans="1:3" x14ac:dyDescent="0.25">
      <c r="A162" t="s">
        <v>94</v>
      </c>
      <c r="B162" t="s">
        <v>411</v>
      </c>
      <c r="C162" t="s">
        <v>412</v>
      </c>
    </row>
    <row r="163" spans="1:3" x14ac:dyDescent="0.25">
      <c r="A163" t="s">
        <v>94</v>
      </c>
      <c r="B163" t="s">
        <v>95</v>
      </c>
      <c r="C163" t="s">
        <v>413</v>
      </c>
    </row>
    <row r="164" spans="1:3" x14ac:dyDescent="0.25">
      <c r="A164" t="s">
        <v>94</v>
      </c>
      <c r="B164" t="s">
        <v>358</v>
      </c>
      <c r="C164" t="s">
        <v>414</v>
      </c>
    </row>
    <row r="165" spans="1:3" x14ac:dyDescent="0.25">
      <c r="A165" t="s">
        <v>94</v>
      </c>
      <c r="B165" t="s">
        <v>95</v>
      </c>
      <c r="C165" t="s">
        <v>415</v>
      </c>
    </row>
    <row r="166" spans="1:3" x14ac:dyDescent="0.25">
      <c r="A166" t="s">
        <v>416</v>
      </c>
      <c r="B166" t="s">
        <v>200</v>
      </c>
      <c r="C166" t="s">
        <v>417</v>
      </c>
    </row>
    <row r="167" spans="1:3" x14ac:dyDescent="0.25">
      <c r="A167" t="s">
        <v>416</v>
      </c>
      <c r="B167" t="s">
        <v>407</v>
      </c>
      <c r="C167" t="s">
        <v>418</v>
      </c>
    </row>
    <row r="168" spans="1:3" x14ac:dyDescent="0.25">
      <c r="A168" t="s">
        <v>416</v>
      </c>
      <c r="B168" t="s">
        <v>407</v>
      </c>
      <c r="C168" t="s">
        <v>419</v>
      </c>
    </row>
    <row r="169" spans="1:3" x14ac:dyDescent="0.25">
      <c r="A169" t="s">
        <v>416</v>
      </c>
      <c r="B169" t="s">
        <v>195</v>
      </c>
      <c r="C169" t="s">
        <v>420</v>
      </c>
    </row>
    <row r="170" spans="1:3" x14ac:dyDescent="0.25">
      <c r="A170" t="s">
        <v>416</v>
      </c>
      <c r="B170" t="s">
        <v>421</v>
      </c>
      <c r="C170" t="s">
        <v>422</v>
      </c>
    </row>
    <row r="171" spans="1:3" x14ac:dyDescent="0.25">
      <c r="A171" t="s">
        <v>416</v>
      </c>
      <c r="B171" t="s">
        <v>241</v>
      </c>
      <c r="C171" t="s">
        <v>423</v>
      </c>
    </row>
    <row r="172" spans="1:3" x14ac:dyDescent="0.25">
      <c r="A172" t="s">
        <v>416</v>
      </c>
      <c r="B172" t="s">
        <v>95</v>
      </c>
      <c r="C172" t="s">
        <v>424</v>
      </c>
    </row>
    <row r="173" spans="1:3" x14ac:dyDescent="0.25">
      <c r="A173" t="s">
        <v>416</v>
      </c>
      <c r="B173" t="s">
        <v>95</v>
      </c>
      <c r="C173" t="s">
        <v>425</v>
      </c>
    </row>
    <row r="174" spans="1:3" x14ac:dyDescent="0.25">
      <c r="A174" t="s">
        <v>426</v>
      </c>
      <c r="B174" t="s">
        <v>427</v>
      </c>
      <c r="C174" t="s">
        <v>428</v>
      </c>
    </row>
    <row r="175" spans="1:3" x14ac:dyDescent="0.25">
      <c r="A175" t="s">
        <v>426</v>
      </c>
      <c r="B175" t="s">
        <v>429</v>
      </c>
      <c r="C175" t="s">
        <v>430</v>
      </c>
    </row>
    <row r="176" spans="1:3" x14ac:dyDescent="0.25">
      <c r="A176" t="s">
        <v>426</v>
      </c>
      <c r="B176" t="s">
        <v>427</v>
      </c>
      <c r="C176" t="s">
        <v>431</v>
      </c>
    </row>
    <row r="177" spans="1:3" x14ac:dyDescent="0.25">
      <c r="A177" t="s">
        <v>426</v>
      </c>
      <c r="B177" t="s">
        <v>432</v>
      </c>
      <c r="C177" t="s">
        <v>433</v>
      </c>
    </row>
    <row r="178" spans="1:3" x14ac:dyDescent="0.25">
      <c r="A178" t="s">
        <v>426</v>
      </c>
      <c r="B178" t="s">
        <v>432</v>
      </c>
      <c r="C178" t="s">
        <v>434</v>
      </c>
    </row>
    <row r="179" spans="1:3" x14ac:dyDescent="0.25">
      <c r="A179" t="s">
        <v>426</v>
      </c>
      <c r="B179" t="s">
        <v>230</v>
      </c>
      <c r="C179" t="s">
        <v>435</v>
      </c>
    </row>
    <row r="180" spans="1:3" x14ac:dyDescent="0.25">
      <c r="A180" t="s">
        <v>426</v>
      </c>
      <c r="B180" t="s">
        <v>313</v>
      </c>
      <c r="C180" t="s">
        <v>436</v>
      </c>
    </row>
    <row r="181" spans="1:3" x14ac:dyDescent="0.25">
      <c r="A181" t="s">
        <v>426</v>
      </c>
      <c r="B181" t="s">
        <v>226</v>
      </c>
      <c r="C181" t="s">
        <v>437</v>
      </c>
    </row>
    <row r="182" spans="1:3" x14ac:dyDescent="0.25">
      <c r="A182" t="s">
        <v>426</v>
      </c>
      <c r="B182" t="s">
        <v>438</v>
      </c>
      <c r="C182" t="s">
        <v>439</v>
      </c>
    </row>
    <row r="183" spans="1:3" x14ac:dyDescent="0.25">
      <c r="A183" t="s">
        <v>426</v>
      </c>
      <c r="B183" t="s">
        <v>432</v>
      </c>
      <c r="C183" t="s">
        <v>440</v>
      </c>
    </row>
    <row r="184" spans="1:3" x14ac:dyDescent="0.25">
      <c r="A184" t="s">
        <v>426</v>
      </c>
      <c r="B184" t="s">
        <v>427</v>
      </c>
      <c r="C184" t="s">
        <v>441</v>
      </c>
    </row>
    <row r="185" spans="1:3" x14ac:dyDescent="0.25">
      <c r="A185" t="s">
        <v>426</v>
      </c>
      <c r="B185" t="s">
        <v>226</v>
      </c>
      <c r="C185" t="s">
        <v>442</v>
      </c>
    </row>
    <row r="186" spans="1:3" x14ac:dyDescent="0.25">
      <c r="A186" t="s">
        <v>426</v>
      </c>
      <c r="B186" t="s">
        <v>443</v>
      </c>
      <c r="C186" t="s">
        <v>444</v>
      </c>
    </row>
    <row r="187" spans="1:3" x14ac:dyDescent="0.25">
      <c r="A187" t="s">
        <v>426</v>
      </c>
      <c r="B187" t="s">
        <v>427</v>
      </c>
      <c r="C187" t="s">
        <v>445</v>
      </c>
    </row>
    <row r="188" spans="1:3" x14ac:dyDescent="0.25">
      <c r="A188" t="s">
        <v>426</v>
      </c>
      <c r="B188" t="s">
        <v>446</v>
      </c>
      <c r="C188" t="s">
        <v>447</v>
      </c>
    </row>
    <row r="189" spans="1:3" x14ac:dyDescent="0.25">
      <c r="A189" t="s">
        <v>426</v>
      </c>
      <c r="B189" t="s">
        <v>448</v>
      </c>
      <c r="C189" t="s">
        <v>449</v>
      </c>
    </row>
    <row r="190" spans="1:3" x14ac:dyDescent="0.25">
      <c r="A190" t="s">
        <v>426</v>
      </c>
      <c r="B190" t="s">
        <v>427</v>
      </c>
      <c r="C190" t="s">
        <v>450</v>
      </c>
    </row>
    <row r="191" spans="1:3" x14ac:dyDescent="0.25">
      <c r="A191" t="s">
        <v>426</v>
      </c>
      <c r="B191" t="s">
        <v>427</v>
      </c>
      <c r="C191" t="s">
        <v>451</v>
      </c>
    </row>
    <row r="192" spans="1:3" x14ac:dyDescent="0.25">
      <c r="A192" t="s">
        <v>426</v>
      </c>
      <c r="B192" t="s">
        <v>452</v>
      </c>
      <c r="C192" t="s">
        <v>453</v>
      </c>
    </row>
    <row r="193" spans="1:3" x14ac:dyDescent="0.25">
      <c r="A193" t="s">
        <v>426</v>
      </c>
      <c r="B193" t="s">
        <v>443</v>
      </c>
      <c r="C193" t="s">
        <v>454</v>
      </c>
    </row>
    <row r="194" spans="1:3" x14ac:dyDescent="0.25">
      <c r="A194" t="s">
        <v>426</v>
      </c>
      <c r="B194" t="s">
        <v>427</v>
      </c>
      <c r="C194" t="s">
        <v>455</v>
      </c>
    </row>
    <row r="195" spans="1:3" x14ac:dyDescent="0.25">
      <c r="A195" t="s">
        <v>426</v>
      </c>
      <c r="B195" t="s">
        <v>448</v>
      </c>
      <c r="C195" t="s">
        <v>456</v>
      </c>
    </row>
    <row r="196" spans="1:3" x14ac:dyDescent="0.25">
      <c r="A196" t="s">
        <v>426</v>
      </c>
      <c r="B196" t="s">
        <v>443</v>
      </c>
      <c r="C196" t="s">
        <v>457</v>
      </c>
    </row>
    <row r="197" spans="1:3" x14ac:dyDescent="0.25">
      <c r="A197" t="s">
        <v>426</v>
      </c>
      <c r="B197" t="s">
        <v>458</v>
      </c>
      <c r="C197" t="s">
        <v>459</v>
      </c>
    </row>
    <row r="198" spans="1:3" x14ac:dyDescent="0.25">
      <c r="A198" t="s">
        <v>426</v>
      </c>
      <c r="B198" t="s">
        <v>226</v>
      </c>
      <c r="C198" t="s">
        <v>460</v>
      </c>
    </row>
    <row r="199" spans="1:3" x14ac:dyDescent="0.25">
      <c r="A199" t="s">
        <v>426</v>
      </c>
      <c r="B199" t="s">
        <v>432</v>
      </c>
      <c r="C199" t="s">
        <v>461</v>
      </c>
    </row>
    <row r="200" spans="1:3" x14ac:dyDescent="0.25">
      <c r="A200" t="s">
        <v>426</v>
      </c>
      <c r="B200" t="s">
        <v>443</v>
      </c>
      <c r="C200" t="s">
        <v>462</v>
      </c>
    </row>
    <row r="201" spans="1:3" x14ac:dyDescent="0.25">
      <c r="A201" t="s">
        <v>426</v>
      </c>
      <c r="B201" t="s">
        <v>226</v>
      </c>
      <c r="C201" t="s">
        <v>463</v>
      </c>
    </row>
    <row r="202" spans="1:3" x14ac:dyDescent="0.25">
      <c r="A202" t="s">
        <v>426</v>
      </c>
      <c r="B202" t="s">
        <v>226</v>
      </c>
      <c r="C202" t="s">
        <v>464</v>
      </c>
    </row>
    <row r="203" spans="1:3" x14ac:dyDescent="0.25">
      <c r="A203" t="s">
        <v>426</v>
      </c>
      <c r="B203" t="s">
        <v>226</v>
      </c>
      <c r="C203" t="s">
        <v>465</v>
      </c>
    </row>
    <row r="204" spans="1:3" x14ac:dyDescent="0.25">
      <c r="A204" t="s">
        <v>426</v>
      </c>
      <c r="B204" t="s">
        <v>427</v>
      </c>
      <c r="C204" t="s">
        <v>466</v>
      </c>
    </row>
    <row r="205" spans="1:3" x14ac:dyDescent="0.25">
      <c r="A205" t="s">
        <v>426</v>
      </c>
      <c r="B205" t="s">
        <v>226</v>
      </c>
      <c r="C205" t="s">
        <v>467</v>
      </c>
    </row>
    <row r="206" spans="1:3" x14ac:dyDescent="0.25">
      <c r="A206" t="s">
        <v>426</v>
      </c>
      <c r="B206" t="s">
        <v>468</v>
      </c>
      <c r="C206" t="s">
        <v>469</v>
      </c>
    </row>
    <row r="207" spans="1:3" x14ac:dyDescent="0.25">
      <c r="A207" t="s">
        <v>426</v>
      </c>
      <c r="B207" t="s">
        <v>470</v>
      </c>
      <c r="C207" t="s">
        <v>471</v>
      </c>
    </row>
    <row r="208" spans="1:3" x14ac:dyDescent="0.25">
      <c r="A208" t="s">
        <v>426</v>
      </c>
      <c r="B208" t="s">
        <v>468</v>
      </c>
      <c r="C208" t="s">
        <v>472</v>
      </c>
    </row>
    <row r="209" spans="1:3" x14ac:dyDescent="0.25">
      <c r="A209" t="s">
        <v>426</v>
      </c>
      <c r="B209" t="s">
        <v>226</v>
      </c>
      <c r="C209" t="s">
        <v>473</v>
      </c>
    </row>
    <row r="210" spans="1:3" x14ac:dyDescent="0.25">
      <c r="A210" t="s">
        <v>426</v>
      </c>
      <c r="B210" t="s">
        <v>226</v>
      </c>
      <c r="C210" t="s">
        <v>474</v>
      </c>
    </row>
    <row r="211" spans="1:3" x14ac:dyDescent="0.25">
      <c r="A211" t="s">
        <v>426</v>
      </c>
      <c r="B211" t="s">
        <v>226</v>
      </c>
      <c r="C211" t="s">
        <v>475</v>
      </c>
    </row>
    <row r="212" spans="1:3" x14ac:dyDescent="0.25">
      <c r="A212" t="s">
        <v>426</v>
      </c>
      <c r="B212" t="s">
        <v>427</v>
      </c>
      <c r="C212" t="s">
        <v>476</v>
      </c>
    </row>
    <row r="213" spans="1:3" x14ac:dyDescent="0.25">
      <c r="A213" t="s">
        <v>426</v>
      </c>
      <c r="B213" t="s">
        <v>226</v>
      </c>
      <c r="C213" t="s">
        <v>477</v>
      </c>
    </row>
    <row r="214" spans="1:3" x14ac:dyDescent="0.25">
      <c r="A214" t="s">
        <v>426</v>
      </c>
      <c r="B214" t="s">
        <v>446</v>
      </c>
      <c r="C214" t="s">
        <v>478</v>
      </c>
    </row>
    <row r="215" spans="1:3" x14ac:dyDescent="0.25">
      <c r="A215" t="s">
        <v>426</v>
      </c>
      <c r="B215" t="s">
        <v>443</v>
      </c>
      <c r="C215" t="s">
        <v>479</v>
      </c>
    </row>
    <row r="216" spans="1:3" x14ac:dyDescent="0.25">
      <c r="A216" t="s">
        <v>426</v>
      </c>
      <c r="B216" t="s">
        <v>226</v>
      </c>
      <c r="C216" t="s">
        <v>480</v>
      </c>
    </row>
    <row r="217" spans="1:3" x14ac:dyDescent="0.25">
      <c r="A217" t="s">
        <v>426</v>
      </c>
      <c r="B217" t="s">
        <v>226</v>
      </c>
      <c r="C217" t="s">
        <v>481</v>
      </c>
    </row>
    <row r="218" spans="1:3" x14ac:dyDescent="0.25">
      <c r="A218" t="s">
        <v>426</v>
      </c>
      <c r="B218" t="s">
        <v>226</v>
      </c>
      <c r="C218" t="s">
        <v>482</v>
      </c>
    </row>
    <row r="219" spans="1:3" x14ac:dyDescent="0.25">
      <c r="A219" t="s">
        <v>426</v>
      </c>
      <c r="B219" t="s">
        <v>446</v>
      </c>
      <c r="C219" t="s">
        <v>483</v>
      </c>
    </row>
    <row r="220" spans="1:3" x14ac:dyDescent="0.25">
      <c r="A220" t="s">
        <v>426</v>
      </c>
      <c r="B220" t="s">
        <v>484</v>
      </c>
      <c r="C220" t="s">
        <v>485</v>
      </c>
    </row>
    <row r="221" spans="1:3" x14ac:dyDescent="0.25">
      <c r="A221" t="s">
        <v>426</v>
      </c>
      <c r="B221" t="s">
        <v>448</v>
      </c>
      <c r="C221" t="s">
        <v>486</v>
      </c>
    </row>
    <row r="222" spans="1:3" x14ac:dyDescent="0.25">
      <c r="A222" t="s">
        <v>426</v>
      </c>
      <c r="B222" t="s">
        <v>470</v>
      </c>
      <c r="C222" t="s">
        <v>487</v>
      </c>
    </row>
    <row r="223" spans="1:3" x14ac:dyDescent="0.25">
      <c r="A223" t="s">
        <v>426</v>
      </c>
      <c r="B223" t="s">
        <v>446</v>
      </c>
      <c r="C223" t="s">
        <v>488</v>
      </c>
    </row>
    <row r="224" spans="1:3" x14ac:dyDescent="0.25">
      <c r="A224" t="s">
        <v>426</v>
      </c>
      <c r="B224" t="s">
        <v>226</v>
      </c>
      <c r="C224" t="s">
        <v>489</v>
      </c>
    </row>
    <row r="225" spans="1:3" x14ac:dyDescent="0.25">
      <c r="A225" t="s">
        <v>426</v>
      </c>
      <c r="B225" t="s">
        <v>468</v>
      </c>
      <c r="C225" t="s">
        <v>490</v>
      </c>
    </row>
    <row r="226" spans="1:3" x14ac:dyDescent="0.25">
      <c r="A226" t="s">
        <v>426</v>
      </c>
      <c r="B226" t="s">
        <v>427</v>
      </c>
      <c r="C226" t="s">
        <v>491</v>
      </c>
    </row>
    <row r="227" spans="1:3" x14ac:dyDescent="0.25">
      <c r="A227" t="s">
        <v>426</v>
      </c>
      <c r="B227" t="s">
        <v>432</v>
      </c>
      <c r="C227" t="s">
        <v>492</v>
      </c>
    </row>
    <row r="228" spans="1:3" x14ac:dyDescent="0.25">
      <c r="A228" t="s">
        <v>426</v>
      </c>
      <c r="B228" t="s">
        <v>446</v>
      </c>
      <c r="C228" t="s">
        <v>493</v>
      </c>
    </row>
    <row r="229" spans="1:3" x14ac:dyDescent="0.25">
      <c r="A229" t="s">
        <v>426</v>
      </c>
      <c r="B229" t="s">
        <v>448</v>
      </c>
      <c r="C229" t="s">
        <v>494</v>
      </c>
    </row>
    <row r="230" spans="1:3" x14ac:dyDescent="0.25">
      <c r="A230" t="s">
        <v>426</v>
      </c>
      <c r="B230" t="s">
        <v>484</v>
      </c>
      <c r="C230" t="s">
        <v>495</v>
      </c>
    </row>
    <row r="231" spans="1:3" x14ac:dyDescent="0.25">
      <c r="A231" t="s">
        <v>426</v>
      </c>
      <c r="B231" t="s">
        <v>226</v>
      </c>
      <c r="C231" t="s">
        <v>496</v>
      </c>
    </row>
    <row r="232" spans="1:3" x14ac:dyDescent="0.25">
      <c r="A232" t="s">
        <v>426</v>
      </c>
      <c r="B232" t="s">
        <v>226</v>
      </c>
      <c r="C232" t="s">
        <v>497</v>
      </c>
    </row>
    <row r="233" spans="1:3" x14ac:dyDescent="0.25">
      <c r="A233" t="s">
        <v>426</v>
      </c>
      <c r="B233" t="s">
        <v>226</v>
      </c>
      <c r="C233" t="s">
        <v>498</v>
      </c>
    </row>
    <row r="234" spans="1:3" x14ac:dyDescent="0.25">
      <c r="A234" t="s">
        <v>426</v>
      </c>
      <c r="B234" t="s">
        <v>446</v>
      </c>
      <c r="C234" t="s">
        <v>499</v>
      </c>
    </row>
    <row r="235" spans="1:3" x14ac:dyDescent="0.25">
      <c r="A235" t="s">
        <v>426</v>
      </c>
      <c r="B235" t="s">
        <v>448</v>
      </c>
      <c r="C235" t="s">
        <v>500</v>
      </c>
    </row>
    <row r="236" spans="1:3" x14ac:dyDescent="0.25">
      <c r="A236" t="s">
        <v>426</v>
      </c>
      <c r="B236" t="s">
        <v>458</v>
      </c>
      <c r="C236" t="s">
        <v>501</v>
      </c>
    </row>
    <row r="237" spans="1:3" x14ac:dyDescent="0.25">
      <c r="A237" t="s">
        <v>426</v>
      </c>
      <c r="B237" t="s">
        <v>470</v>
      </c>
      <c r="C237" t="s">
        <v>502</v>
      </c>
    </row>
    <row r="238" spans="1:3" x14ac:dyDescent="0.25">
      <c r="A238" t="s">
        <v>426</v>
      </c>
      <c r="B238" t="s">
        <v>432</v>
      </c>
      <c r="C238" t="s">
        <v>503</v>
      </c>
    </row>
    <row r="239" spans="1:3" x14ac:dyDescent="0.25">
      <c r="A239" t="s">
        <v>426</v>
      </c>
      <c r="B239" t="s">
        <v>504</v>
      </c>
      <c r="C239" t="s">
        <v>505</v>
      </c>
    </row>
    <row r="240" spans="1:3" x14ac:dyDescent="0.25">
      <c r="A240" t="s">
        <v>426</v>
      </c>
      <c r="B240" t="s">
        <v>506</v>
      </c>
      <c r="C240" t="s">
        <v>507</v>
      </c>
    </row>
    <row r="241" spans="1:3" x14ac:dyDescent="0.25">
      <c r="A241" t="s">
        <v>426</v>
      </c>
      <c r="B241" t="s">
        <v>448</v>
      </c>
      <c r="C241" t="s">
        <v>508</v>
      </c>
    </row>
    <row r="242" spans="1:3" x14ac:dyDescent="0.25">
      <c r="A242" t="s">
        <v>426</v>
      </c>
      <c r="B242" t="s">
        <v>443</v>
      </c>
      <c r="C242" t="s">
        <v>509</v>
      </c>
    </row>
    <row r="243" spans="1:3" x14ac:dyDescent="0.25">
      <c r="A243" t="s">
        <v>426</v>
      </c>
      <c r="B243" t="s">
        <v>468</v>
      </c>
      <c r="C243" t="s">
        <v>510</v>
      </c>
    </row>
    <row r="244" spans="1:3" x14ac:dyDescent="0.25">
      <c r="A244" t="s">
        <v>426</v>
      </c>
      <c r="B244" t="s">
        <v>226</v>
      </c>
      <c r="C244" t="s">
        <v>511</v>
      </c>
    </row>
    <row r="245" spans="1:3" x14ac:dyDescent="0.25">
      <c r="A245" t="s">
        <v>426</v>
      </c>
      <c r="B245" t="s">
        <v>448</v>
      </c>
      <c r="C245" t="s">
        <v>512</v>
      </c>
    </row>
    <row r="246" spans="1:3" x14ac:dyDescent="0.25">
      <c r="A246" t="s">
        <v>426</v>
      </c>
      <c r="B246" t="s">
        <v>470</v>
      </c>
      <c r="C246" t="s">
        <v>513</v>
      </c>
    </row>
    <row r="247" spans="1:3" x14ac:dyDescent="0.25">
      <c r="A247" t="s">
        <v>426</v>
      </c>
      <c r="B247" t="s">
        <v>432</v>
      </c>
      <c r="C247" t="s">
        <v>514</v>
      </c>
    </row>
    <row r="248" spans="1:3" x14ac:dyDescent="0.25">
      <c r="A248" t="s">
        <v>426</v>
      </c>
      <c r="B248" t="s">
        <v>226</v>
      </c>
      <c r="C248" t="s">
        <v>515</v>
      </c>
    </row>
    <row r="249" spans="1:3" x14ac:dyDescent="0.25">
      <c r="A249" t="s">
        <v>426</v>
      </c>
      <c r="B249" t="s">
        <v>432</v>
      </c>
      <c r="C249" t="s">
        <v>516</v>
      </c>
    </row>
    <row r="250" spans="1:3" x14ac:dyDescent="0.25">
      <c r="A250" t="s">
        <v>426</v>
      </c>
      <c r="B250" t="s">
        <v>432</v>
      </c>
      <c r="C250" t="s">
        <v>517</v>
      </c>
    </row>
    <row r="251" spans="1:3" x14ac:dyDescent="0.25">
      <c r="A251" t="s">
        <v>426</v>
      </c>
      <c r="B251" t="s">
        <v>484</v>
      </c>
      <c r="C251" t="s">
        <v>518</v>
      </c>
    </row>
    <row r="252" spans="1:3" x14ac:dyDescent="0.25">
      <c r="A252" t="s">
        <v>426</v>
      </c>
      <c r="B252" t="s">
        <v>226</v>
      </c>
      <c r="C252" t="s">
        <v>519</v>
      </c>
    </row>
    <row r="253" spans="1:3" x14ac:dyDescent="0.25">
      <c r="A253" t="s">
        <v>426</v>
      </c>
      <c r="B253" t="s">
        <v>429</v>
      </c>
      <c r="C253" t="s">
        <v>520</v>
      </c>
    </row>
    <row r="254" spans="1:3" x14ac:dyDescent="0.25">
      <c r="A254" t="s">
        <v>426</v>
      </c>
      <c r="B254" t="s">
        <v>470</v>
      </c>
      <c r="C254" t="s">
        <v>521</v>
      </c>
    </row>
    <row r="255" spans="1:3" x14ac:dyDescent="0.25">
      <c r="A255" t="s">
        <v>426</v>
      </c>
      <c r="B255" t="s">
        <v>226</v>
      </c>
      <c r="C255" t="s">
        <v>522</v>
      </c>
    </row>
    <row r="256" spans="1:3" x14ac:dyDescent="0.25">
      <c r="A256" t="s">
        <v>426</v>
      </c>
      <c r="B256" t="s">
        <v>448</v>
      </c>
      <c r="C256" t="s">
        <v>523</v>
      </c>
    </row>
    <row r="257" spans="1:3" x14ac:dyDescent="0.25">
      <c r="A257" t="s">
        <v>426</v>
      </c>
      <c r="B257" t="s">
        <v>452</v>
      </c>
      <c r="C257" t="s">
        <v>524</v>
      </c>
    </row>
    <row r="258" spans="1:3" x14ac:dyDescent="0.25">
      <c r="A258" t="s">
        <v>426</v>
      </c>
      <c r="B258" t="s">
        <v>226</v>
      </c>
      <c r="C258" t="s">
        <v>525</v>
      </c>
    </row>
    <row r="259" spans="1:3" x14ac:dyDescent="0.25">
      <c r="A259" t="s">
        <v>526</v>
      </c>
      <c r="B259" t="s">
        <v>200</v>
      </c>
      <c r="C259" t="s">
        <v>527</v>
      </c>
    </row>
    <row r="260" spans="1:3" x14ac:dyDescent="0.25">
      <c r="A260" t="s">
        <v>526</v>
      </c>
      <c r="B260" t="s">
        <v>200</v>
      </c>
      <c r="C260" t="s">
        <v>528</v>
      </c>
    </row>
    <row r="261" spans="1:3" x14ac:dyDescent="0.25">
      <c r="A261" t="s">
        <v>526</v>
      </c>
      <c r="B261" t="s">
        <v>206</v>
      </c>
      <c r="C261" t="s">
        <v>529</v>
      </c>
    </row>
    <row r="262" spans="1:3" x14ac:dyDescent="0.25">
      <c r="A262" t="s">
        <v>526</v>
      </c>
      <c r="B262" t="s">
        <v>530</v>
      </c>
      <c r="C262" t="s">
        <v>531</v>
      </c>
    </row>
    <row r="263" spans="1:3" x14ac:dyDescent="0.25">
      <c r="A263" t="s">
        <v>526</v>
      </c>
      <c r="B263" t="s">
        <v>195</v>
      </c>
      <c r="C263" t="s">
        <v>532</v>
      </c>
    </row>
    <row r="264" spans="1:3" x14ac:dyDescent="0.25">
      <c r="A264" t="s">
        <v>526</v>
      </c>
      <c r="B264" t="s">
        <v>470</v>
      </c>
      <c r="C264" t="s">
        <v>533</v>
      </c>
    </row>
    <row r="265" spans="1:3" x14ac:dyDescent="0.25">
      <c r="A265" t="s">
        <v>526</v>
      </c>
      <c r="B265" t="s">
        <v>534</v>
      </c>
      <c r="C265" t="s">
        <v>535</v>
      </c>
    </row>
    <row r="266" spans="1:3" x14ac:dyDescent="0.25">
      <c r="A266" t="s">
        <v>526</v>
      </c>
      <c r="B266" t="s">
        <v>534</v>
      </c>
      <c r="C266" t="s">
        <v>536</v>
      </c>
    </row>
    <row r="267" spans="1:3" x14ac:dyDescent="0.25">
      <c r="A267" t="s">
        <v>526</v>
      </c>
      <c r="B267" t="s">
        <v>534</v>
      </c>
      <c r="C267" t="s">
        <v>537</v>
      </c>
    </row>
    <row r="268" spans="1:3" x14ac:dyDescent="0.25">
      <c r="A268" t="s">
        <v>526</v>
      </c>
      <c r="B268" t="s">
        <v>534</v>
      </c>
      <c r="C268" t="s">
        <v>538</v>
      </c>
    </row>
    <row r="269" spans="1:3" x14ac:dyDescent="0.25">
      <c r="A269" t="s">
        <v>526</v>
      </c>
      <c r="B269" t="s">
        <v>432</v>
      </c>
      <c r="C269" t="s">
        <v>539</v>
      </c>
    </row>
    <row r="270" spans="1:3" x14ac:dyDescent="0.25">
      <c r="A270" t="s">
        <v>526</v>
      </c>
      <c r="B270" t="s">
        <v>432</v>
      </c>
      <c r="C270" t="s">
        <v>540</v>
      </c>
    </row>
    <row r="271" spans="1:3" x14ac:dyDescent="0.25">
      <c r="A271" t="s">
        <v>526</v>
      </c>
      <c r="B271" t="s">
        <v>432</v>
      </c>
      <c r="C271" t="s">
        <v>541</v>
      </c>
    </row>
    <row r="272" spans="1:3" x14ac:dyDescent="0.25">
      <c r="A272" t="s">
        <v>526</v>
      </c>
      <c r="B272" t="s">
        <v>432</v>
      </c>
      <c r="C272" t="s">
        <v>542</v>
      </c>
    </row>
    <row r="273" spans="1:3" x14ac:dyDescent="0.25">
      <c r="A273" t="s">
        <v>526</v>
      </c>
      <c r="B273" t="s">
        <v>272</v>
      </c>
      <c r="C273" t="s">
        <v>543</v>
      </c>
    </row>
    <row r="274" spans="1:3" x14ac:dyDescent="0.25">
      <c r="A274" t="s">
        <v>526</v>
      </c>
      <c r="B274" t="s">
        <v>313</v>
      </c>
      <c r="C274" t="s">
        <v>544</v>
      </c>
    </row>
    <row r="275" spans="1:3" x14ac:dyDescent="0.25">
      <c r="A275" t="s">
        <v>526</v>
      </c>
      <c r="B275" t="s">
        <v>432</v>
      </c>
      <c r="C275" t="s">
        <v>545</v>
      </c>
    </row>
    <row r="276" spans="1:3" x14ac:dyDescent="0.25">
      <c r="A276" t="s">
        <v>526</v>
      </c>
      <c r="B276" t="s">
        <v>484</v>
      </c>
      <c r="C276" t="s">
        <v>546</v>
      </c>
    </row>
    <row r="277" spans="1:3" x14ac:dyDescent="0.25">
      <c r="A277" t="s">
        <v>526</v>
      </c>
      <c r="B277" t="s">
        <v>427</v>
      </c>
      <c r="C277" t="s">
        <v>547</v>
      </c>
    </row>
  </sheetData>
  <sheetProtection algorithmName="SHA-512" hashValue="JnTQSdKgH2+X5vrfd73LCOhW+7JVwceh6dYA/vGBXX9M5+p0sOBBxUg/f0SVO/SuaNF1dmjtLBluF45vMT0v6g==" saltValue="MX7MEyJdWj3W2fC4s9Itxw==" spinCount="100000" sheet="1" autoFilter="0"/>
  <autoFilter ref="A1:C277" xr:uid="{0A06AD0E-B835-4EEC-AF8B-F83207487A2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C951B-4AD5-4881-9894-178E7FE31607}">
  <sheetPr codeName="Sheet3"/>
  <dimension ref="A1:AQ77"/>
  <sheetViews>
    <sheetView zoomScale="96" zoomScaleNormal="100" workbookViewId="0">
      <pane xSplit="2" ySplit="5" topLeftCell="C6" activePane="bottomRight" state="frozen"/>
      <selection pane="topRight" activeCell="C1" sqref="C1"/>
      <selection pane="bottomLeft" activeCell="A7" sqref="A7"/>
      <selection pane="bottomRight"/>
    </sheetView>
  </sheetViews>
  <sheetFormatPr defaultRowHeight="15" x14ac:dyDescent="0.25"/>
  <cols>
    <col min="1" max="1" width="5.5703125" customWidth="1"/>
    <col min="2" max="2" width="27.42578125" style="101" customWidth="1"/>
    <col min="3" max="6" width="10.42578125" style="101" customWidth="1"/>
    <col min="7" max="42" width="10.42578125" customWidth="1"/>
  </cols>
  <sheetData>
    <row r="1" spans="1:43" x14ac:dyDescent="0.25">
      <c r="G1" s="201" t="s">
        <v>548</v>
      </c>
      <c r="H1" s="201"/>
    </row>
    <row r="2" spans="1:43" ht="26.25" x14ac:dyDescent="0.25">
      <c r="G2" s="459" t="s">
        <v>549</v>
      </c>
      <c r="H2" s="459"/>
      <c r="I2" s="459"/>
      <c r="J2" s="459"/>
      <c r="K2" s="459"/>
      <c r="L2" s="459"/>
      <c r="M2" s="459"/>
      <c r="N2" s="459"/>
      <c r="O2" s="459"/>
      <c r="P2" s="459"/>
      <c r="Q2" s="459"/>
      <c r="R2" s="459"/>
      <c r="S2" s="459"/>
      <c r="T2" s="459"/>
      <c r="U2" s="459"/>
      <c r="V2" s="459"/>
      <c r="W2" s="459"/>
      <c r="X2" s="213"/>
      <c r="Y2" s="213"/>
      <c r="Z2" s="213"/>
      <c r="AA2" s="213"/>
      <c r="AB2" s="213"/>
      <c r="AC2" s="213"/>
      <c r="AD2" s="213"/>
      <c r="AE2" s="213"/>
      <c r="AF2" s="213"/>
      <c r="AG2" s="213"/>
    </row>
    <row r="3" spans="1:43" ht="18.75" x14ac:dyDescent="0.25">
      <c r="G3" s="212"/>
      <c r="H3" s="212"/>
      <c r="I3" s="212"/>
      <c r="J3" s="212"/>
      <c r="K3" s="212"/>
      <c r="L3" s="212"/>
      <c r="M3" s="212"/>
      <c r="N3" s="212"/>
      <c r="O3" s="212"/>
      <c r="P3" s="212"/>
      <c r="Q3" s="212"/>
      <c r="R3" s="212"/>
      <c r="S3" s="212"/>
      <c r="T3" s="212"/>
      <c r="U3" s="212"/>
      <c r="V3" s="212"/>
      <c r="W3" s="212"/>
    </row>
    <row r="4" spans="1:43" x14ac:dyDescent="0.25">
      <c r="B4" s="75" t="s">
        <v>550</v>
      </c>
      <c r="C4" s="200">
        <v>1</v>
      </c>
      <c r="D4" s="200">
        <f>C4+1</f>
        <v>2</v>
      </c>
      <c r="E4" s="200">
        <f t="shared" ref="E4:AP4" si="0">D4+1</f>
        <v>3</v>
      </c>
      <c r="F4" s="200">
        <v>4</v>
      </c>
      <c r="G4" s="200">
        <v>5</v>
      </c>
      <c r="H4" s="200">
        <v>6</v>
      </c>
      <c r="I4" s="200">
        <v>7</v>
      </c>
      <c r="J4" s="200">
        <v>8</v>
      </c>
      <c r="K4" s="200">
        <v>9</v>
      </c>
      <c r="L4" s="200">
        <v>10</v>
      </c>
      <c r="M4" s="200">
        <v>11</v>
      </c>
      <c r="N4" s="200">
        <v>12</v>
      </c>
      <c r="O4" s="200">
        <v>13</v>
      </c>
      <c r="P4" s="200">
        <v>14</v>
      </c>
      <c r="Q4" s="200">
        <v>15</v>
      </c>
      <c r="R4" s="200">
        <v>16</v>
      </c>
      <c r="S4" s="200">
        <f t="shared" si="0"/>
        <v>17</v>
      </c>
      <c r="T4" s="200">
        <f t="shared" si="0"/>
        <v>18</v>
      </c>
      <c r="U4" s="200">
        <f t="shared" si="0"/>
        <v>19</v>
      </c>
      <c r="V4" s="200">
        <f t="shared" si="0"/>
        <v>20</v>
      </c>
      <c r="W4" s="200">
        <f t="shared" si="0"/>
        <v>21</v>
      </c>
      <c r="X4" s="200">
        <f t="shared" si="0"/>
        <v>22</v>
      </c>
      <c r="Y4" s="200">
        <f t="shared" si="0"/>
        <v>23</v>
      </c>
      <c r="Z4" s="200">
        <f t="shared" si="0"/>
        <v>24</v>
      </c>
      <c r="AA4" s="200">
        <f t="shared" si="0"/>
        <v>25</v>
      </c>
      <c r="AB4" s="200">
        <f t="shared" si="0"/>
        <v>26</v>
      </c>
      <c r="AC4" s="200">
        <f t="shared" si="0"/>
        <v>27</v>
      </c>
      <c r="AD4" s="200">
        <f t="shared" si="0"/>
        <v>28</v>
      </c>
      <c r="AE4" s="200">
        <f t="shared" si="0"/>
        <v>29</v>
      </c>
      <c r="AF4" s="200">
        <f t="shared" si="0"/>
        <v>30</v>
      </c>
      <c r="AG4" s="200">
        <f t="shared" si="0"/>
        <v>31</v>
      </c>
      <c r="AH4" s="200">
        <f t="shared" si="0"/>
        <v>32</v>
      </c>
      <c r="AI4" s="200">
        <f t="shared" si="0"/>
        <v>33</v>
      </c>
      <c r="AJ4" s="200">
        <f t="shared" si="0"/>
        <v>34</v>
      </c>
      <c r="AK4" s="200">
        <f t="shared" si="0"/>
        <v>35</v>
      </c>
      <c r="AL4" s="200">
        <f t="shared" si="0"/>
        <v>36</v>
      </c>
      <c r="AM4" s="200">
        <f t="shared" si="0"/>
        <v>37</v>
      </c>
      <c r="AN4" s="200">
        <f t="shared" si="0"/>
        <v>38</v>
      </c>
      <c r="AO4" s="200">
        <f t="shared" si="0"/>
        <v>39</v>
      </c>
      <c r="AP4" s="200">
        <f t="shared" si="0"/>
        <v>40</v>
      </c>
    </row>
    <row r="5" spans="1:43" s="36" customFormat="1" ht="30" customHeight="1" x14ac:dyDescent="0.25">
      <c r="B5" s="198" t="s">
        <v>551</v>
      </c>
      <c r="C5" s="199">
        <f>('Pricing Details'!F4)-WEEKDAY('Pricing Details'!F4,3)</f>
        <v>46055</v>
      </c>
      <c r="D5" s="199">
        <f>C5+7</f>
        <v>46062</v>
      </c>
      <c r="E5" s="199">
        <f t="shared" ref="E5:AP5" si="1">D5+7</f>
        <v>46069</v>
      </c>
      <c r="F5" s="199">
        <f t="shared" si="1"/>
        <v>46076</v>
      </c>
      <c r="G5" s="199">
        <f t="shared" si="1"/>
        <v>46083</v>
      </c>
      <c r="H5" s="199">
        <f t="shared" si="1"/>
        <v>46090</v>
      </c>
      <c r="I5" s="199">
        <f t="shared" si="1"/>
        <v>46097</v>
      </c>
      <c r="J5" s="199">
        <f t="shared" si="1"/>
        <v>46104</v>
      </c>
      <c r="K5" s="199">
        <f t="shared" si="1"/>
        <v>46111</v>
      </c>
      <c r="L5" s="199">
        <f t="shared" si="1"/>
        <v>46118</v>
      </c>
      <c r="M5" s="199">
        <f t="shared" si="1"/>
        <v>46125</v>
      </c>
      <c r="N5" s="199">
        <f t="shared" si="1"/>
        <v>46132</v>
      </c>
      <c r="O5" s="199">
        <f t="shared" si="1"/>
        <v>46139</v>
      </c>
      <c r="P5" s="199">
        <f t="shared" si="1"/>
        <v>46146</v>
      </c>
      <c r="Q5" s="199">
        <f t="shared" si="1"/>
        <v>46153</v>
      </c>
      <c r="R5" s="199">
        <f t="shared" si="1"/>
        <v>46160</v>
      </c>
      <c r="S5" s="199">
        <f t="shared" si="1"/>
        <v>46167</v>
      </c>
      <c r="T5" s="199">
        <f t="shared" si="1"/>
        <v>46174</v>
      </c>
      <c r="U5" s="199">
        <f t="shared" si="1"/>
        <v>46181</v>
      </c>
      <c r="V5" s="199">
        <f t="shared" si="1"/>
        <v>46188</v>
      </c>
      <c r="W5" s="199">
        <f t="shared" si="1"/>
        <v>46195</v>
      </c>
      <c r="X5" s="199">
        <f t="shared" si="1"/>
        <v>46202</v>
      </c>
      <c r="Y5" s="199">
        <f t="shared" si="1"/>
        <v>46209</v>
      </c>
      <c r="Z5" s="199">
        <f t="shared" si="1"/>
        <v>46216</v>
      </c>
      <c r="AA5" s="199">
        <f t="shared" si="1"/>
        <v>46223</v>
      </c>
      <c r="AB5" s="199">
        <f t="shared" si="1"/>
        <v>46230</v>
      </c>
      <c r="AC5" s="199">
        <f t="shared" si="1"/>
        <v>46237</v>
      </c>
      <c r="AD5" s="199">
        <f t="shared" si="1"/>
        <v>46244</v>
      </c>
      <c r="AE5" s="199">
        <f t="shared" si="1"/>
        <v>46251</v>
      </c>
      <c r="AF5" s="199">
        <f t="shared" si="1"/>
        <v>46258</v>
      </c>
      <c r="AG5" s="199">
        <f t="shared" si="1"/>
        <v>46265</v>
      </c>
      <c r="AH5" s="199">
        <f t="shared" si="1"/>
        <v>46272</v>
      </c>
      <c r="AI5" s="199">
        <f t="shared" si="1"/>
        <v>46279</v>
      </c>
      <c r="AJ5" s="199">
        <f t="shared" si="1"/>
        <v>46286</v>
      </c>
      <c r="AK5" s="199">
        <f t="shared" si="1"/>
        <v>46293</v>
      </c>
      <c r="AL5" s="199">
        <f t="shared" si="1"/>
        <v>46300</v>
      </c>
      <c r="AM5" s="199">
        <f t="shared" si="1"/>
        <v>46307</v>
      </c>
      <c r="AN5" s="199">
        <f t="shared" si="1"/>
        <v>46314</v>
      </c>
      <c r="AO5" s="199">
        <f t="shared" si="1"/>
        <v>46321</v>
      </c>
      <c r="AP5" s="199">
        <f t="shared" si="1"/>
        <v>46328</v>
      </c>
    </row>
    <row r="6" spans="1:43" s="36" customFormat="1" ht="30" customHeight="1" x14ac:dyDescent="0.25">
      <c r="A6" s="211"/>
      <c r="B6" s="61" t="s">
        <v>552</v>
      </c>
      <c r="C6" s="214">
        <v>1</v>
      </c>
      <c r="D6" s="231"/>
      <c r="E6" s="231"/>
      <c r="F6" s="231"/>
      <c r="G6" s="231"/>
      <c r="H6" s="231"/>
      <c r="I6" s="231"/>
      <c r="J6" s="231"/>
      <c r="K6" s="231"/>
      <c r="L6" s="231"/>
      <c r="M6" s="231"/>
      <c r="N6" s="231"/>
      <c r="O6" s="231"/>
      <c r="P6" s="231"/>
      <c r="Q6" s="231"/>
      <c r="R6" s="231"/>
      <c r="S6" s="231"/>
      <c r="T6" s="231"/>
      <c r="U6" s="215"/>
      <c r="V6" s="215"/>
      <c r="W6" s="215"/>
      <c r="X6" s="215"/>
      <c r="Y6" s="215"/>
      <c r="Z6" s="215"/>
      <c r="AA6" s="215"/>
      <c r="AB6" s="215"/>
      <c r="AC6" s="215"/>
      <c r="AD6" s="215"/>
      <c r="AE6" s="215"/>
      <c r="AF6" s="215"/>
      <c r="AG6" s="215"/>
      <c r="AH6" s="215"/>
      <c r="AI6" s="215"/>
      <c r="AJ6" s="215"/>
      <c r="AK6" s="215"/>
      <c r="AL6" s="215"/>
      <c r="AM6" s="215"/>
      <c r="AN6" s="215"/>
      <c r="AO6" s="215"/>
      <c r="AP6" s="215"/>
      <c r="AQ6" s="211"/>
    </row>
    <row r="7" spans="1:43" ht="30" customHeight="1" x14ac:dyDescent="0.25">
      <c r="A7" s="210"/>
      <c r="B7" s="61" t="s">
        <v>553</v>
      </c>
      <c r="C7" s="232"/>
      <c r="D7" s="460">
        <v>3</v>
      </c>
      <c r="E7" s="457"/>
      <c r="F7" s="458"/>
      <c r="G7" s="215"/>
      <c r="H7" s="215"/>
      <c r="I7" s="215"/>
      <c r="J7" s="215"/>
      <c r="K7" s="215"/>
      <c r="L7" s="215"/>
      <c r="M7" s="215"/>
      <c r="N7" s="215"/>
      <c r="O7" s="215"/>
      <c r="P7" s="215"/>
      <c r="Q7" s="215"/>
      <c r="R7" s="215"/>
      <c r="S7" s="215"/>
      <c r="T7" s="215"/>
      <c r="U7" s="215"/>
      <c r="V7" s="215"/>
      <c r="W7" s="215"/>
      <c r="X7" s="215"/>
      <c r="Y7" s="215"/>
      <c r="Z7" s="215"/>
      <c r="AA7" s="215"/>
      <c r="AB7" s="215"/>
      <c r="AC7" s="215"/>
      <c r="AD7" s="215"/>
      <c r="AE7" s="215"/>
      <c r="AF7" s="215"/>
      <c r="AG7" s="215"/>
      <c r="AH7" s="215"/>
      <c r="AI7" s="215"/>
      <c r="AJ7" s="215"/>
      <c r="AK7" s="215"/>
      <c r="AL7" s="215"/>
      <c r="AM7" s="215"/>
      <c r="AN7" s="215"/>
      <c r="AO7" s="215"/>
      <c r="AP7" s="215"/>
      <c r="AQ7" s="210"/>
    </row>
    <row r="8" spans="1:43" ht="30" customHeight="1" x14ac:dyDescent="0.25">
      <c r="A8" s="210"/>
      <c r="B8" s="61" t="s">
        <v>554</v>
      </c>
      <c r="C8" s="215"/>
      <c r="D8" s="215"/>
      <c r="E8" s="215"/>
      <c r="F8" s="216"/>
      <c r="G8" s="460">
        <v>5</v>
      </c>
      <c r="H8" s="457"/>
      <c r="I8" s="457"/>
      <c r="J8" s="457"/>
      <c r="K8" s="458"/>
      <c r="L8" s="215"/>
      <c r="M8" s="215"/>
      <c r="N8" s="215"/>
      <c r="O8" s="215"/>
      <c r="P8" s="215"/>
      <c r="Q8" s="215"/>
      <c r="R8" s="215"/>
      <c r="S8" s="215"/>
      <c r="T8" s="215"/>
      <c r="U8" s="215"/>
      <c r="V8" s="215"/>
      <c r="W8" s="215"/>
      <c r="X8" s="215"/>
      <c r="Y8" s="215"/>
      <c r="Z8" s="215"/>
      <c r="AA8" s="215"/>
      <c r="AB8" s="215"/>
      <c r="AC8" s="215"/>
      <c r="AD8" s="215"/>
      <c r="AE8" s="215"/>
      <c r="AF8" s="215"/>
      <c r="AG8" s="215"/>
      <c r="AH8" s="215"/>
      <c r="AI8" s="215"/>
      <c r="AJ8" s="215"/>
      <c r="AK8" s="215"/>
      <c r="AL8" s="215"/>
      <c r="AM8" s="215"/>
      <c r="AN8" s="215"/>
      <c r="AO8" s="215"/>
      <c r="AP8" s="215"/>
      <c r="AQ8" s="210"/>
    </row>
    <row r="9" spans="1:43" ht="30" customHeight="1" x14ac:dyDescent="0.25">
      <c r="A9" s="210"/>
      <c r="B9" s="61" t="s">
        <v>555</v>
      </c>
      <c r="C9" s="215"/>
      <c r="D9" s="215"/>
      <c r="E9" s="215"/>
      <c r="F9" s="215"/>
      <c r="G9" s="215"/>
      <c r="H9" s="215"/>
      <c r="I9" s="215"/>
      <c r="J9" s="215"/>
      <c r="K9" s="216"/>
      <c r="L9" s="460">
        <v>12</v>
      </c>
      <c r="M9" s="457"/>
      <c r="N9" s="457"/>
      <c r="O9" s="457"/>
      <c r="P9" s="457"/>
      <c r="Q9" s="457"/>
      <c r="R9" s="457"/>
      <c r="S9" s="457"/>
      <c r="T9" s="457"/>
      <c r="U9" s="457"/>
      <c r="V9" s="457"/>
      <c r="W9" s="458"/>
      <c r="X9" s="215"/>
      <c r="Y9" s="215"/>
      <c r="Z9" s="215"/>
      <c r="AA9" s="215"/>
      <c r="AB9" s="215"/>
      <c r="AC9" s="215"/>
      <c r="AD9" s="215"/>
      <c r="AE9" s="215"/>
      <c r="AF9" s="215"/>
      <c r="AG9" s="215"/>
      <c r="AH9" s="215"/>
      <c r="AI9" s="215"/>
      <c r="AJ9" s="215"/>
      <c r="AK9" s="215"/>
      <c r="AL9" s="215"/>
      <c r="AM9" s="215"/>
      <c r="AN9" s="215"/>
      <c r="AO9" s="215"/>
      <c r="AP9" s="215"/>
      <c r="AQ9" s="210"/>
    </row>
    <row r="10" spans="1:43" ht="30" customHeight="1" x14ac:dyDescent="0.25">
      <c r="A10" s="210"/>
      <c r="B10" s="61" t="s">
        <v>556</v>
      </c>
      <c r="C10" s="215"/>
      <c r="D10" s="215"/>
      <c r="E10" s="215"/>
      <c r="F10" s="215"/>
      <c r="G10" s="215"/>
      <c r="H10" s="215"/>
      <c r="I10" s="215"/>
      <c r="J10" s="460">
        <v>14</v>
      </c>
      <c r="K10" s="457"/>
      <c r="L10" s="457"/>
      <c r="M10" s="457"/>
      <c r="N10" s="457"/>
      <c r="O10" s="457"/>
      <c r="P10" s="457"/>
      <c r="Q10" s="457"/>
      <c r="R10" s="457"/>
      <c r="S10" s="457"/>
      <c r="T10" s="457"/>
      <c r="U10" s="457"/>
      <c r="V10" s="457"/>
      <c r="W10" s="458"/>
      <c r="X10" s="215"/>
      <c r="Y10" s="215"/>
      <c r="Z10" s="215"/>
      <c r="AA10" s="215"/>
      <c r="AB10" s="215"/>
      <c r="AC10" s="215"/>
      <c r="AD10" s="215"/>
      <c r="AE10" s="215"/>
      <c r="AF10" s="215"/>
      <c r="AG10" s="215"/>
      <c r="AH10" s="215"/>
      <c r="AI10" s="215"/>
      <c r="AJ10" s="215"/>
      <c r="AK10" s="215"/>
      <c r="AL10" s="215"/>
      <c r="AM10" s="215"/>
      <c r="AN10" s="215"/>
      <c r="AO10" s="215"/>
      <c r="AP10" s="215"/>
      <c r="AQ10" s="210"/>
    </row>
    <row r="11" spans="1:43" ht="30" customHeight="1" x14ac:dyDescent="0.25">
      <c r="A11" s="210"/>
      <c r="B11" s="61" t="s">
        <v>557</v>
      </c>
      <c r="C11" s="215"/>
      <c r="D11" s="215"/>
      <c r="E11" s="215"/>
      <c r="F11" s="215"/>
      <c r="G11" s="215"/>
      <c r="H11" s="215"/>
      <c r="I11" s="215"/>
      <c r="J11" s="215"/>
      <c r="K11" s="216"/>
      <c r="L11" s="215"/>
      <c r="M11" s="215"/>
      <c r="N11" s="215"/>
      <c r="O11" s="215"/>
      <c r="P11" s="215"/>
      <c r="Q11" s="215"/>
      <c r="R11" s="457">
        <v>6</v>
      </c>
      <c r="S11" s="457"/>
      <c r="T11" s="457"/>
      <c r="U11" s="457"/>
      <c r="V11" s="457"/>
      <c r="W11" s="458"/>
      <c r="X11" s="215"/>
      <c r="Y11" s="215"/>
      <c r="Z11" s="215"/>
      <c r="AA11" s="215"/>
      <c r="AB11" s="215"/>
      <c r="AC11" s="215"/>
      <c r="AD11" s="215"/>
      <c r="AE11" s="215"/>
      <c r="AF11" s="215"/>
      <c r="AG11" s="215"/>
      <c r="AH11" s="215"/>
      <c r="AI11" s="215"/>
      <c r="AJ11" s="215"/>
      <c r="AK11" s="215"/>
      <c r="AL11" s="215"/>
      <c r="AM11" s="215"/>
      <c r="AN11" s="215"/>
      <c r="AO11" s="215"/>
      <c r="AP11" s="215"/>
      <c r="AQ11" s="210"/>
    </row>
    <row r="12" spans="1:43" ht="30" customHeight="1" x14ac:dyDescent="0.25">
      <c r="A12" s="210"/>
      <c r="B12" s="61" t="s">
        <v>558</v>
      </c>
      <c r="C12" s="215"/>
      <c r="D12" s="215"/>
      <c r="E12" s="215"/>
      <c r="F12" s="215"/>
      <c r="G12" s="215"/>
      <c r="H12" s="215"/>
      <c r="I12" s="215"/>
      <c r="J12" s="215"/>
      <c r="K12" s="215"/>
      <c r="L12" s="215"/>
      <c r="M12" s="215"/>
      <c r="N12" s="215"/>
      <c r="O12" s="215"/>
      <c r="P12" s="215"/>
      <c r="Q12" s="215"/>
      <c r="R12" s="215"/>
      <c r="S12" s="215"/>
      <c r="T12" s="215"/>
      <c r="U12" s="215"/>
      <c r="V12" s="215"/>
      <c r="W12" s="460">
        <v>2</v>
      </c>
      <c r="X12" s="458"/>
      <c r="Y12" s="215"/>
      <c r="Z12" s="215"/>
      <c r="AA12" s="215"/>
      <c r="AB12" s="215"/>
      <c r="AC12" s="215"/>
      <c r="AD12" s="215"/>
      <c r="AE12" s="215"/>
      <c r="AF12" s="215"/>
      <c r="AG12" s="215"/>
      <c r="AH12" s="215"/>
      <c r="AI12" s="215"/>
      <c r="AJ12" s="215"/>
      <c r="AK12" s="215"/>
      <c r="AL12" s="215"/>
      <c r="AM12" s="215"/>
      <c r="AN12" s="215"/>
      <c r="AO12" s="215"/>
      <c r="AP12" s="215"/>
      <c r="AQ12" s="210"/>
    </row>
    <row r="13" spans="1:43" ht="30" customHeight="1" x14ac:dyDescent="0.25">
      <c r="A13" s="210"/>
      <c r="B13" s="61" t="s">
        <v>559</v>
      </c>
      <c r="C13" s="215"/>
      <c r="D13" s="215"/>
      <c r="E13" s="215"/>
      <c r="F13" s="215"/>
      <c r="G13" s="215"/>
      <c r="H13" s="215"/>
      <c r="I13" s="215"/>
      <c r="J13" s="215"/>
      <c r="K13" s="215"/>
      <c r="L13" s="215"/>
      <c r="M13" s="215"/>
      <c r="N13" s="215"/>
      <c r="O13" s="215"/>
      <c r="P13" s="215"/>
      <c r="Q13" s="215"/>
      <c r="R13" s="215"/>
      <c r="S13" s="215"/>
      <c r="T13" s="215"/>
      <c r="U13" s="215"/>
      <c r="V13" s="215"/>
      <c r="W13" s="215"/>
      <c r="X13" s="215"/>
      <c r="Y13" s="214">
        <v>1</v>
      </c>
      <c r="Z13" s="215"/>
      <c r="AA13" s="215"/>
      <c r="AB13" s="215"/>
      <c r="AC13" s="215"/>
      <c r="AD13" s="215"/>
      <c r="AE13" s="215"/>
      <c r="AF13" s="215"/>
      <c r="AG13" s="215"/>
      <c r="AH13" s="215"/>
      <c r="AI13" s="215"/>
      <c r="AJ13" s="215"/>
      <c r="AK13" s="215"/>
      <c r="AL13" s="215"/>
      <c r="AM13" s="215"/>
      <c r="AN13" s="215"/>
      <c r="AO13" s="215"/>
      <c r="AP13" s="215"/>
      <c r="AQ13" s="210"/>
    </row>
    <row r="14" spans="1:43" ht="30" customHeight="1" x14ac:dyDescent="0.25">
      <c r="A14" s="210"/>
      <c r="B14" s="61" t="s">
        <v>560</v>
      </c>
      <c r="C14" s="215"/>
      <c r="D14" s="215"/>
      <c r="E14" s="215"/>
      <c r="F14" s="215"/>
      <c r="G14" s="215"/>
      <c r="H14" s="215"/>
      <c r="I14" s="215"/>
      <c r="J14" s="215"/>
      <c r="K14" s="215"/>
      <c r="L14" s="215"/>
      <c r="M14" s="215"/>
      <c r="N14" s="215"/>
      <c r="O14" s="215"/>
      <c r="P14" s="215"/>
      <c r="Q14" s="215"/>
      <c r="R14" s="215"/>
      <c r="S14" s="215"/>
      <c r="T14" s="215"/>
      <c r="U14" s="215"/>
      <c r="V14" s="215"/>
      <c r="W14" s="215"/>
      <c r="X14" s="215"/>
      <c r="Y14" s="215"/>
      <c r="Z14" s="460">
        <v>2</v>
      </c>
      <c r="AA14" s="458"/>
      <c r="AB14" s="215"/>
      <c r="AC14" s="215"/>
      <c r="AD14" s="215"/>
      <c r="AE14" s="215"/>
      <c r="AF14" s="215"/>
      <c r="AG14" s="215"/>
      <c r="AH14" s="215"/>
      <c r="AI14" s="215"/>
      <c r="AJ14" s="215"/>
      <c r="AK14" s="215"/>
      <c r="AL14" s="215"/>
      <c r="AM14" s="215"/>
      <c r="AN14" s="215"/>
      <c r="AO14" s="215"/>
      <c r="AP14" s="215"/>
      <c r="AQ14" s="210"/>
    </row>
    <row r="15" spans="1:43" ht="30" customHeight="1" x14ac:dyDescent="0.25">
      <c r="A15" s="210"/>
      <c r="B15" s="61" t="s">
        <v>561</v>
      </c>
      <c r="C15" s="215"/>
      <c r="D15" s="215"/>
      <c r="E15" s="215"/>
      <c r="F15" s="215"/>
      <c r="G15" s="215"/>
      <c r="H15" s="215"/>
      <c r="I15" s="215"/>
      <c r="J15" s="215"/>
      <c r="K15" s="215"/>
      <c r="L15" s="215"/>
      <c r="M15" s="215"/>
      <c r="N15" s="215"/>
      <c r="O15" s="215"/>
      <c r="P15" s="215"/>
      <c r="Q15" s="215"/>
      <c r="R15" s="215"/>
      <c r="S15" s="215"/>
      <c r="T15" s="215"/>
      <c r="U15" s="215"/>
      <c r="V15" s="215"/>
      <c r="W15" s="215"/>
      <c r="X15" s="215"/>
      <c r="Y15" s="215"/>
      <c r="Z15" s="215"/>
      <c r="AA15" s="215"/>
      <c r="AB15" s="214">
        <v>1</v>
      </c>
      <c r="AC15" s="215"/>
      <c r="AD15" s="215"/>
      <c r="AE15" s="215"/>
      <c r="AF15" s="215"/>
      <c r="AG15" s="215"/>
      <c r="AH15" s="215"/>
      <c r="AI15" s="215"/>
      <c r="AJ15" s="215"/>
      <c r="AK15" s="215"/>
      <c r="AL15" s="215"/>
      <c r="AM15" s="215"/>
      <c r="AN15" s="215"/>
      <c r="AO15" s="215"/>
      <c r="AP15" s="215"/>
      <c r="AQ15" s="210"/>
    </row>
    <row r="16" spans="1:43" ht="30" customHeight="1" x14ac:dyDescent="0.25">
      <c r="A16" s="210"/>
      <c r="B16" s="61" t="s">
        <v>562</v>
      </c>
      <c r="C16" s="215"/>
      <c r="D16" s="215"/>
      <c r="E16" s="215"/>
      <c r="F16" s="215"/>
      <c r="G16" s="215"/>
      <c r="H16" s="215"/>
      <c r="I16" s="215"/>
      <c r="J16" s="215"/>
      <c r="K16" s="215"/>
      <c r="L16" s="215"/>
      <c r="M16" s="215"/>
      <c r="N16" s="215"/>
      <c r="O16" s="215"/>
      <c r="P16" s="215"/>
      <c r="Q16" s="215"/>
      <c r="R16" s="215"/>
      <c r="S16" s="215"/>
      <c r="T16" s="215"/>
      <c r="U16" s="215"/>
      <c r="V16" s="215"/>
      <c r="W16" s="215"/>
      <c r="X16" s="215"/>
      <c r="Y16" s="215"/>
      <c r="Z16" s="215"/>
      <c r="AA16" s="215"/>
      <c r="AB16" s="215"/>
      <c r="AC16" s="460">
        <v>2</v>
      </c>
      <c r="AD16" s="458"/>
      <c r="AE16" s="215"/>
      <c r="AF16" s="215"/>
      <c r="AG16" s="215"/>
      <c r="AH16" s="215"/>
      <c r="AI16" s="215"/>
      <c r="AJ16" s="215"/>
      <c r="AK16" s="215"/>
      <c r="AL16" s="215"/>
      <c r="AM16" s="215"/>
      <c r="AN16" s="215"/>
      <c r="AO16" s="215"/>
      <c r="AP16" s="215"/>
      <c r="AQ16" s="210"/>
    </row>
    <row r="17" spans="1:43" ht="30" customHeight="1" x14ac:dyDescent="0.25">
      <c r="A17" s="210"/>
      <c r="B17" s="61" t="s">
        <v>563</v>
      </c>
      <c r="C17" s="215"/>
      <c r="D17" s="215"/>
      <c r="E17" s="215"/>
      <c r="F17" s="215"/>
      <c r="G17" s="215"/>
      <c r="H17" s="215"/>
      <c r="I17" s="215"/>
      <c r="J17" s="215"/>
      <c r="K17" s="215"/>
      <c r="L17" s="215"/>
      <c r="M17" s="215"/>
      <c r="N17" s="215"/>
      <c r="O17" s="215"/>
      <c r="P17" s="215"/>
      <c r="Q17" s="215"/>
      <c r="R17" s="215"/>
      <c r="S17" s="215"/>
      <c r="T17" s="215"/>
      <c r="U17" s="215"/>
      <c r="V17" s="215"/>
      <c r="W17" s="215"/>
      <c r="X17" s="215"/>
      <c r="Y17" s="215"/>
      <c r="Z17" s="215"/>
      <c r="AA17" s="215"/>
      <c r="AB17" s="215"/>
      <c r="AC17" s="215"/>
      <c r="AD17" s="215"/>
      <c r="AE17" s="460">
        <v>2</v>
      </c>
      <c r="AF17" s="458"/>
      <c r="AG17" s="217"/>
      <c r="AH17" s="215"/>
      <c r="AI17" s="215"/>
      <c r="AJ17" s="215"/>
      <c r="AK17" s="215"/>
      <c r="AL17" s="215"/>
      <c r="AM17" s="215"/>
      <c r="AN17" s="215"/>
      <c r="AO17" s="215"/>
      <c r="AP17" s="215"/>
      <c r="AQ17" s="210"/>
    </row>
    <row r="18" spans="1:43" ht="30" customHeight="1" x14ac:dyDescent="0.25">
      <c r="A18" s="210"/>
      <c r="B18" s="61" t="s">
        <v>564</v>
      </c>
      <c r="C18" s="215"/>
      <c r="D18" s="215"/>
      <c r="E18" s="215"/>
      <c r="F18" s="215"/>
      <c r="G18" s="215"/>
      <c r="H18" s="215"/>
      <c r="I18" s="215"/>
      <c r="J18" s="215"/>
      <c r="K18" s="215"/>
      <c r="L18" s="215"/>
      <c r="M18" s="215"/>
      <c r="N18" s="215"/>
      <c r="O18" s="215"/>
      <c r="P18" s="215"/>
      <c r="Q18" s="218"/>
      <c r="R18" s="218"/>
      <c r="S18" s="218"/>
      <c r="T18" s="218"/>
      <c r="U18" s="218"/>
      <c r="V18" s="218"/>
      <c r="W18" s="218"/>
      <c r="X18" s="218"/>
      <c r="Y18" s="215"/>
      <c r="Z18" s="215"/>
      <c r="AA18" s="215"/>
      <c r="AB18" s="215"/>
      <c r="AC18" s="215"/>
      <c r="AD18" s="215"/>
      <c r="AE18" s="215"/>
      <c r="AF18" s="210"/>
      <c r="AG18" s="214">
        <v>1</v>
      </c>
      <c r="AH18" s="215"/>
      <c r="AI18" s="215"/>
      <c r="AJ18" s="215"/>
      <c r="AK18" s="215"/>
      <c r="AL18" s="215"/>
      <c r="AM18" s="215"/>
      <c r="AN18" s="215"/>
      <c r="AO18" s="215"/>
      <c r="AP18" s="215"/>
      <c r="AQ18" s="210"/>
    </row>
    <row r="19" spans="1:43" ht="30" customHeight="1" x14ac:dyDescent="0.25">
      <c r="A19" s="210"/>
      <c r="B19" s="61" t="s">
        <v>565</v>
      </c>
      <c r="C19" s="215"/>
      <c r="D19" s="215"/>
      <c r="E19" s="215"/>
      <c r="F19" s="215"/>
      <c r="G19" s="215"/>
      <c r="H19" s="215"/>
      <c r="I19" s="215"/>
      <c r="J19" s="215"/>
      <c r="K19" s="215"/>
      <c r="L19" s="215"/>
      <c r="M19" s="215"/>
      <c r="N19" s="215"/>
      <c r="O19" s="215"/>
      <c r="P19" s="215"/>
      <c r="Q19" s="461" t="s">
        <v>566</v>
      </c>
      <c r="R19" s="462"/>
      <c r="S19" s="462"/>
      <c r="T19" s="462"/>
      <c r="U19" s="462"/>
      <c r="V19" s="462"/>
      <c r="W19" s="462"/>
      <c r="X19" s="463"/>
      <c r="Y19" s="219"/>
      <c r="Z19" s="219"/>
      <c r="AA19" s="219"/>
      <c r="AB19" s="215"/>
      <c r="AC19" s="215"/>
      <c r="AD19" s="215"/>
      <c r="AE19" s="215"/>
      <c r="AF19" s="215"/>
      <c r="AG19" s="216"/>
      <c r="AH19" s="215"/>
      <c r="AI19" s="215"/>
      <c r="AJ19" s="215"/>
      <c r="AK19" s="215"/>
      <c r="AL19" s="215"/>
      <c r="AM19" s="215"/>
      <c r="AN19" s="215"/>
      <c r="AO19" s="215"/>
      <c r="AP19" s="215"/>
      <c r="AQ19" s="210"/>
    </row>
    <row r="20" spans="1:43" ht="30" customHeight="1" x14ac:dyDescent="0.25">
      <c r="A20" s="210"/>
      <c r="B20" s="61" t="s">
        <v>567</v>
      </c>
      <c r="C20" s="215"/>
      <c r="D20" s="215"/>
      <c r="E20" s="215"/>
      <c r="F20" s="215"/>
      <c r="G20" s="215"/>
      <c r="H20" s="215"/>
      <c r="I20" s="215"/>
      <c r="J20" s="215"/>
      <c r="K20" s="215"/>
      <c r="L20" s="215"/>
      <c r="M20" s="215"/>
      <c r="N20" s="215"/>
      <c r="O20" s="215"/>
      <c r="P20" s="215"/>
      <c r="Q20" s="215"/>
      <c r="R20" s="215"/>
      <c r="S20" s="215"/>
      <c r="T20" s="215"/>
      <c r="U20" s="215"/>
      <c r="V20" s="215"/>
      <c r="W20" s="215"/>
      <c r="X20" s="215"/>
      <c r="Y20" s="215"/>
      <c r="Z20" s="215"/>
      <c r="AA20" s="215"/>
      <c r="AB20" s="215"/>
      <c r="AC20" s="215"/>
      <c r="AD20" s="215"/>
      <c r="AE20" s="215"/>
      <c r="AF20" s="215"/>
      <c r="AG20" s="215"/>
      <c r="AH20" s="460">
        <v>2</v>
      </c>
      <c r="AI20" s="458"/>
      <c r="AJ20" s="215"/>
      <c r="AK20" s="215"/>
      <c r="AL20" s="215"/>
      <c r="AM20" s="215"/>
      <c r="AN20" s="215"/>
      <c r="AO20" s="215"/>
      <c r="AP20" s="215"/>
      <c r="AQ20" s="210"/>
    </row>
    <row r="21" spans="1:43" ht="30" customHeight="1" x14ac:dyDescent="0.25">
      <c r="A21" s="210"/>
      <c r="B21" s="61" t="s">
        <v>568</v>
      </c>
      <c r="C21" s="215"/>
      <c r="D21" s="215"/>
      <c r="E21" s="215"/>
      <c r="F21" s="215"/>
      <c r="G21" s="215"/>
      <c r="H21" s="215"/>
      <c r="I21" s="215"/>
      <c r="J21" s="215"/>
      <c r="K21" s="215"/>
      <c r="L21" s="215"/>
      <c r="M21" s="215"/>
      <c r="N21" s="215"/>
      <c r="O21" s="215"/>
      <c r="P21" s="215"/>
      <c r="Q21" s="215"/>
      <c r="R21" s="215"/>
      <c r="S21" s="215"/>
      <c r="T21" s="215"/>
      <c r="U21" s="215"/>
      <c r="V21" s="215"/>
      <c r="W21" s="215"/>
      <c r="X21" s="215"/>
      <c r="Y21" s="215"/>
      <c r="Z21" s="215"/>
      <c r="AA21" s="215"/>
      <c r="AB21" s="215"/>
      <c r="AC21" s="215"/>
      <c r="AD21" s="215"/>
      <c r="AE21" s="215"/>
      <c r="AF21" s="215"/>
      <c r="AG21" s="215"/>
      <c r="AH21" s="215"/>
      <c r="AI21" s="215"/>
      <c r="AJ21" s="460">
        <v>2</v>
      </c>
      <c r="AK21" s="458"/>
      <c r="AL21" s="215"/>
      <c r="AM21" s="215"/>
      <c r="AN21" s="215"/>
      <c r="AO21" s="215"/>
      <c r="AP21" s="215"/>
      <c r="AQ21" s="210"/>
    </row>
    <row r="22" spans="1:43" ht="30" customHeight="1" x14ac:dyDescent="0.25">
      <c r="A22" s="210"/>
      <c r="B22" s="61" t="s">
        <v>569</v>
      </c>
      <c r="C22" s="215"/>
      <c r="D22" s="215"/>
      <c r="E22" s="215"/>
      <c r="F22" s="215"/>
      <c r="G22" s="215"/>
      <c r="H22" s="215"/>
      <c r="I22" s="215"/>
      <c r="J22" s="215"/>
      <c r="K22" s="215"/>
      <c r="L22" s="215"/>
      <c r="M22" s="215"/>
      <c r="N22" s="215"/>
      <c r="O22" s="215"/>
      <c r="P22" s="215"/>
      <c r="Q22" s="215"/>
      <c r="R22" s="215"/>
      <c r="S22" s="215"/>
      <c r="T22" s="215"/>
      <c r="U22" s="215"/>
      <c r="V22" s="215"/>
      <c r="W22" s="215"/>
      <c r="X22" s="215"/>
      <c r="Y22" s="215"/>
      <c r="Z22" s="215"/>
      <c r="AA22" s="215"/>
      <c r="AB22" s="215"/>
      <c r="AC22" s="215"/>
      <c r="AD22" s="215"/>
      <c r="AE22" s="215"/>
      <c r="AF22" s="215"/>
      <c r="AG22" s="215"/>
      <c r="AH22" s="215"/>
      <c r="AI22" s="215"/>
      <c r="AJ22" s="215"/>
      <c r="AK22" s="215"/>
      <c r="AL22" s="214">
        <v>1</v>
      </c>
      <c r="AM22" s="215"/>
      <c r="AN22" s="215"/>
      <c r="AO22" s="215"/>
      <c r="AP22" s="215"/>
      <c r="AQ22" s="210"/>
    </row>
    <row r="23" spans="1:43" ht="30" customHeight="1" x14ac:dyDescent="0.25">
      <c r="A23" s="210"/>
      <c r="B23" s="61" t="s">
        <v>570</v>
      </c>
      <c r="C23" s="215"/>
      <c r="D23" s="215"/>
      <c r="E23" s="215"/>
      <c r="F23" s="215"/>
      <c r="G23" s="215"/>
      <c r="H23" s="215"/>
      <c r="I23" s="215"/>
      <c r="J23" s="215"/>
      <c r="K23" s="215"/>
      <c r="L23" s="215"/>
      <c r="M23" s="215"/>
      <c r="N23" s="215"/>
      <c r="O23" s="215"/>
      <c r="P23" s="215"/>
      <c r="Q23" s="215"/>
      <c r="R23" s="215"/>
      <c r="S23" s="215"/>
      <c r="T23" s="215"/>
      <c r="U23" s="215"/>
      <c r="V23" s="215"/>
      <c r="W23" s="215"/>
      <c r="X23" s="215"/>
      <c r="Y23" s="215"/>
      <c r="Z23" s="215"/>
      <c r="AA23" s="215"/>
      <c r="AB23" s="215"/>
      <c r="AC23" s="215"/>
      <c r="AD23" s="215"/>
      <c r="AE23" s="215"/>
      <c r="AF23" s="215"/>
      <c r="AG23" s="215"/>
      <c r="AH23" s="215"/>
      <c r="AI23" s="215"/>
      <c r="AJ23" s="215"/>
      <c r="AK23" s="215"/>
      <c r="AL23" s="215"/>
      <c r="AM23" s="460">
        <v>2</v>
      </c>
      <c r="AN23" s="458"/>
      <c r="AO23" s="215"/>
      <c r="AP23" s="215"/>
      <c r="AQ23" s="210"/>
    </row>
    <row r="24" spans="1:43" ht="30" customHeight="1" x14ac:dyDescent="0.25">
      <c r="A24" s="210"/>
      <c r="B24" s="209" t="s">
        <v>571</v>
      </c>
      <c r="C24" s="215"/>
      <c r="D24" s="215"/>
      <c r="E24" s="215"/>
      <c r="F24" s="215"/>
      <c r="G24" s="215"/>
      <c r="H24" s="215"/>
      <c r="I24" s="215"/>
      <c r="J24" s="215"/>
      <c r="K24" s="215"/>
      <c r="L24" s="215"/>
      <c r="M24" s="215"/>
      <c r="N24" s="215"/>
      <c r="O24" s="215"/>
      <c r="P24" s="215"/>
      <c r="Q24" s="215"/>
      <c r="R24" s="215"/>
      <c r="S24" s="215"/>
      <c r="T24" s="215"/>
      <c r="U24" s="215"/>
      <c r="V24" s="215"/>
      <c r="W24" s="215"/>
      <c r="X24" s="215"/>
      <c r="Y24" s="215"/>
      <c r="Z24" s="215"/>
      <c r="AA24" s="215"/>
      <c r="AB24" s="215"/>
      <c r="AC24" s="215"/>
      <c r="AD24" s="215"/>
      <c r="AE24" s="215"/>
      <c r="AF24" s="215"/>
      <c r="AG24" s="215"/>
      <c r="AH24" s="215"/>
      <c r="AI24" s="215"/>
      <c r="AJ24" s="215"/>
      <c r="AK24" s="215"/>
      <c r="AL24" s="215"/>
      <c r="AM24" s="215"/>
      <c r="AN24" s="215"/>
      <c r="AO24" s="215"/>
      <c r="AP24" s="215"/>
      <c r="AQ24" s="210"/>
    </row>
    <row r="25" spans="1:43" ht="30" customHeight="1" x14ac:dyDescent="0.25">
      <c r="A25" s="9"/>
      <c r="B25" s="9"/>
      <c r="C25" s="9"/>
      <c r="D25" s="9"/>
      <c r="E25" s="9"/>
      <c r="F25" s="9"/>
      <c r="G25" s="9"/>
      <c r="H25" s="9"/>
      <c r="I25" s="9"/>
      <c r="J25" s="9"/>
      <c r="K25" s="9"/>
      <c r="L25" s="9"/>
      <c r="M25" s="9"/>
      <c r="N25" s="9"/>
      <c r="O25" s="9"/>
      <c r="P25" s="9"/>
      <c r="Q25" s="9"/>
      <c r="R25" s="9"/>
      <c r="S25" s="9"/>
      <c r="T25" s="9"/>
      <c r="U25" s="210"/>
      <c r="V25" s="210"/>
      <c r="W25" s="210"/>
      <c r="X25" s="210"/>
      <c r="Y25" s="210"/>
      <c r="Z25" s="210"/>
      <c r="AA25" s="210"/>
      <c r="AB25" s="210"/>
      <c r="AC25" s="210"/>
      <c r="AD25" s="210"/>
      <c r="AE25" s="210"/>
      <c r="AF25" s="210"/>
      <c r="AG25" s="210"/>
      <c r="AH25" s="210"/>
      <c r="AI25" s="210"/>
      <c r="AJ25" s="210"/>
      <c r="AK25" s="210"/>
      <c r="AL25" s="210"/>
      <c r="AM25" s="210"/>
      <c r="AN25" s="210"/>
      <c r="AO25" s="210"/>
      <c r="AP25" s="210"/>
      <c r="AQ25" s="210"/>
    </row>
    <row r="26" spans="1:43" x14ac:dyDescent="0.25">
      <c r="A26" s="210"/>
      <c r="B26" s="9"/>
      <c r="C26" s="220"/>
      <c r="D26" s="220"/>
      <c r="E26" s="220"/>
      <c r="F26" s="220"/>
      <c r="G26" s="220"/>
      <c r="H26" s="220"/>
      <c r="I26" s="220"/>
      <c r="J26" s="220"/>
      <c r="K26" s="220"/>
      <c r="L26" s="220"/>
      <c r="M26" s="220"/>
      <c r="N26" s="220"/>
      <c r="O26" s="220"/>
      <c r="P26" s="220"/>
      <c r="Q26" s="220"/>
      <c r="R26" s="220"/>
      <c r="S26" s="220"/>
      <c r="T26" s="210"/>
      <c r="U26" s="210"/>
      <c r="V26" s="210"/>
      <c r="W26" s="210"/>
      <c r="X26" s="210"/>
      <c r="Y26" s="210"/>
      <c r="Z26" s="210"/>
      <c r="AA26" s="210"/>
      <c r="AB26" s="210"/>
      <c r="AC26" s="210"/>
      <c r="AD26" s="210"/>
      <c r="AE26" s="210"/>
      <c r="AF26" s="210"/>
      <c r="AG26" s="210"/>
      <c r="AH26" s="210"/>
      <c r="AI26" s="210"/>
      <c r="AJ26" s="210"/>
      <c r="AK26" s="210"/>
      <c r="AL26" s="210"/>
      <c r="AM26" s="210"/>
      <c r="AN26" s="210"/>
      <c r="AO26" s="210"/>
      <c r="AP26" s="210"/>
      <c r="AQ26" s="210"/>
    </row>
    <row r="27" spans="1:43" ht="30" x14ac:dyDescent="0.25">
      <c r="A27" s="210"/>
      <c r="B27" s="10" t="s">
        <v>572</v>
      </c>
      <c r="C27" s="210">
        <v>40</v>
      </c>
      <c r="D27" s="210">
        <v>40</v>
      </c>
      <c r="E27" s="210">
        <v>40</v>
      </c>
      <c r="F27" s="210">
        <v>40</v>
      </c>
      <c r="G27" s="210">
        <v>40</v>
      </c>
      <c r="H27" s="210">
        <v>40</v>
      </c>
      <c r="I27" s="210">
        <v>40</v>
      </c>
      <c r="J27" s="210">
        <v>40</v>
      </c>
      <c r="K27" s="210">
        <v>40</v>
      </c>
      <c r="L27" s="210">
        <v>40</v>
      </c>
      <c r="M27" s="210">
        <v>40</v>
      </c>
      <c r="N27" s="210">
        <v>40</v>
      </c>
      <c r="O27" s="210">
        <v>40</v>
      </c>
      <c r="P27" s="210">
        <v>40</v>
      </c>
      <c r="Q27" s="210">
        <v>40</v>
      </c>
      <c r="R27" s="210">
        <v>40</v>
      </c>
      <c r="S27" s="210">
        <v>40</v>
      </c>
      <c r="T27" s="210">
        <v>40</v>
      </c>
      <c r="U27" s="210">
        <v>40</v>
      </c>
      <c r="V27" s="210">
        <v>40</v>
      </c>
      <c r="W27" s="210">
        <v>40</v>
      </c>
      <c r="X27" s="210">
        <v>40</v>
      </c>
      <c r="Y27" s="210">
        <v>40</v>
      </c>
      <c r="Z27" s="210">
        <v>40</v>
      </c>
      <c r="AA27" s="210">
        <v>40</v>
      </c>
      <c r="AB27" s="210">
        <v>40</v>
      </c>
      <c r="AC27" s="210">
        <v>40</v>
      </c>
      <c r="AD27" s="210">
        <v>40</v>
      </c>
      <c r="AE27" s="210">
        <v>40</v>
      </c>
      <c r="AF27" s="210">
        <v>40</v>
      </c>
      <c r="AG27" s="210">
        <v>40</v>
      </c>
      <c r="AH27" s="210">
        <v>40</v>
      </c>
      <c r="AI27" s="210">
        <v>40</v>
      </c>
      <c r="AJ27" s="210">
        <v>40</v>
      </c>
      <c r="AK27" s="210">
        <v>40</v>
      </c>
      <c r="AL27" s="210">
        <v>40</v>
      </c>
      <c r="AM27" s="210"/>
      <c r="AN27" s="210"/>
      <c r="AO27" s="210"/>
      <c r="AP27" s="210"/>
      <c r="AQ27" s="210"/>
    </row>
    <row r="28" spans="1:43" x14ac:dyDescent="0.25">
      <c r="A28" s="210"/>
      <c r="B28" s="10" t="s">
        <v>573</v>
      </c>
      <c r="C28" s="210">
        <v>24</v>
      </c>
      <c r="D28" s="210">
        <v>36</v>
      </c>
      <c r="E28" s="210">
        <v>36</v>
      </c>
      <c r="F28" s="210">
        <v>36</v>
      </c>
      <c r="G28" s="210">
        <v>36</v>
      </c>
      <c r="H28" s="210">
        <v>36</v>
      </c>
      <c r="I28" s="210">
        <v>36</v>
      </c>
      <c r="J28" s="210">
        <v>36</v>
      </c>
      <c r="K28" s="210">
        <v>36</v>
      </c>
      <c r="L28" s="210">
        <v>24</v>
      </c>
      <c r="M28" s="210">
        <v>24</v>
      </c>
      <c r="N28" s="210">
        <v>16</v>
      </c>
      <c r="O28" s="210">
        <v>8</v>
      </c>
      <c r="P28" s="210">
        <v>8</v>
      </c>
      <c r="Q28" s="210">
        <v>8</v>
      </c>
      <c r="R28" s="210">
        <v>8</v>
      </c>
      <c r="S28" s="210">
        <v>8</v>
      </c>
      <c r="T28" s="210">
        <v>8</v>
      </c>
      <c r="U28" s="210">
        <v>8</v>
      </c>
      <c r="V28" s="210">
        <v>8</v>
      </c>
      <c r="W28" s="210">
        <v>8</v>
      </c>
      <c r="X28" s="210">
        <v>16</v>
      </c>
      <c r="Y28" s="210">
        <v>16</v>
      </c>
      <c r="Z28" s="210">
        <v>16</v>
      </c>
      <c r="AA28" s="210">
        <v>16</v>
      </c>
      <c r="AB28" s="210">
        <v>16</v>
      </c>
      <c r="AC28" s="210">
        <v>16</v>
      </c>
      <c r="AD28" s="210">
        <v>16</v>
      </c>
      <c r="AE28" s="210"/>
      <c r="AF28" s="210"/>
      <c r="AG28" s="210"/>
      <c r="AH28" s="210"/>
      <c r="AI28" s="210"/>
      <c r="AJ28" s="210"/>
      <c r="AK28" s="210"/>
      <c r="AL28" s="210"/>
      <c r="AM28" s="210"/>
      <c r="AN28" s="210"/>
      <c r="AO28" s="210"/>
      <c r="AP28" s="210"/>
      <c r="AQ28" s="210"/>
    </row>
    <row r="29" spans="1:43" ht="30" x14ac:dyDescent="0.25">
      <c r="A29" s="210"/>
      <c r="B29" s="10" t="s">
        <v>574</v>
      </c>
      <c r="C29" s="210">
        <v>40</v>
      </c>
      <c r="D29" s="210">
        <v>40</v>
      </c>
      <c r="E29" s="210">
        <v>40</v>
      </c>
      <c r="F29" s="210">
        <v>40</v>
      </c>
      <c r="G29" s="210">
        <v>40</v>
      </c>
      <c r="H29" s="210">
        <v>40</v>
      </c>
      <c r="I29" s="210">
        <v>40</v>
      </c>
      <c r="J29" s="210">
        <v>40</v>
      </c>
      <c r="K29" s="210">
        <v>40</v>
      </c>
      <c r="L29" s="210">
        <v>40</v>
      </c>
      <c r="M29" s="210">
        <v>40</v>
      </c>
      <c r="N29" s="210">
        <v>40</v>
      </c>
      <c r="O29" s="210">
        <v>40</v>
      </c>
      <c r="P29" s="210">
        <v>40</v>
      </c>
      <c r="Q29" s="210">
        <v>40</v>
      </c>
      <c r="R29" s="210">
        <v>40</v>
      </c>
      <c r="S29" s="210">
        <v>40</v>
      </c>
      <c r="T29" s="210">
        <v>40</v>
      </c>
      <c r="U29" s="210">
        <v>40</v>
      </c>
      <c r="V29" s="210">
        <v>40</v>
      </c>
      <c r="W29" s="210">
        <v>40</v>
      </c>
      <c r="X29" s="210">
        <v>40</v>
      </c>
      <c r="Y29" s="210">
        <v>40</v>
      </c>
      <c r="Z29" s="210">
        <v>40</v>
      </c>
      <c r="AA29" s="210">
        <v>40</v>
      </c>
      <c r="AB29" s="210">
        <v>40</v>
      </c>
      <c r="AC29" s="210">
        <v>40</v>
      </c>
      <c r="AD29" s="210">
        <v>40</v>
      </c>
      <c r="AE29" s="210">
        <v>40</v>
      </c>
      <c r="AF29" s="210">
        <v>40</v>
      </c>
      <c r="AG29" s="210">
        <v>40</v>
      </c>
      <c r="AH29" s="210">
        <v>40</v>
      </c>
      <c r="AI29" s="210">
        <v>40</v>
      </c>
      <c r="AJ29" s="210">
        <v>40</v>
      </c>
      <c r="AK29" s="210">
        <v>40</v>
      </c>
      <c r="AL29" s="210">
        <v>40</v>
      </c>
      <c r="AM29" s="210">
        <v>40</v>
      </c>
      <c r="AN29" s="210">
        <v>40</v>
      </c>
      <c r="AO29" s="210"/>
      <c r="AP29" s="210"/>
      <c r="AQ29" s="210"/>
    </row>
    <row r="30" spans="1:43" ht="30" x14ac:dyDescent="0.25">
      <c r="A30" s="210"/>
      <c r="B30" s="10" t="s">
        <v>575</v>
      </c>
      <c r="C30" s="210"/>
      <c r="D30" s="210"/>
      <c r="E30" s="221"/>
      <c r="F30" s="221"/>
      <c r="G30" s="221"/>
      <c r="H30" s="221"/>
      <c r="I30" s="221"/>
      <c r="J30" s="221"/>
      <c r="K30" s="222">
        <v>40</v>
      </c>
      <c r="L30" s="222">
        <v>40</v>
      </c>
      <c r="M30" s="222">
        <v>40</v>
      </c>
      <c r="N30" s="222">
        <v>40</v>
      </c>
      <c r="O30" s="222">
        <v>40</v>
      </c>
      <c r="P30" s="222">
        <v>40</v>
      </c>
      <c r="Q30" s="222">
        <v>40</v>
      </c>
      <c r="R30" s="222">
        <v>40</v>
      </c>
      <c r="S30" s="222">
        <v>40</v>
      </c>
      <c r="T30" s="222">
        <v>40</v>
      </c>
      <c r="U30" s="222">
        <v>40</v>
      </c>
      <c r="V30" s="222">
        <v>40</v>
      </c>
      <c r="W30" s="222">
        <v>40</v>
      </c>
      <c r="X30" s="222">
        <v>40</v>
      </c>
      <c r="Y30" s="222">
        <v>40</v>
      </c>
      <c r="Z30" s="222">
        <v>40</v>
      </c>
      <c r="AA30" s="222">
        <v>40</v>
      </c>
      <c r="AB30" s="222">
        <v>40</v>
      </c>
      <c r="AC30" s="222">
        <v>40</v>
      </c>
      <c r="AD30" s="222">
        <v>40</v>
      </c>
      <c r="AE30" s="222">
        <v>40</v>
      </c>
      <c r="AF30" s="222">
        <v>40</v>
      </c>
      <c r="AG30" s="222">
        <v>40</v>
      </c>
      <c r="AH30" s="222">
        <v>40</v>
      </c>
      <c r="AI30" s="222">
        <v>40</v>
      </c>
      <c r="AJ30" s="222">
        <v>40</v>
      </c>
      <c r="AK30" s="222">
        <v>40</v>
      </c>
      <c r="AL30" s="222">
        <v>40</v>
      </c>
      <c r="AM30" s="222">
        <v>40</v>
      </c>
      <c r="AN30" s="222">
        <v>40</v>
      </c>
      <c r="AO30" s="210"/>
      <c r="AP30" s="210"/>
      <c r="AQ30" s="210"/>
    </row>
    <row r="31" spans="1:43" ht="30" x14ac:dyDescent="0.25">
      <c r="A31" s="210"/>
      <c r="B31" s="10" t="s">
        <v>576</v>
      </c>
      <c r="C31" s="210"/>
      <c r="D31" s="210"/>
      <c r="E31" s="221"/>
      <c r="F31" s="221"/>
      <c r="G31" s="221"/>
      <c r="H31" s="221"/>
      <c r="I31" s="222">
        <v>40</v>
      </c>
      <c r="J31" s="222">
        <v>40</v>
      </c>
      <c r="K31" s="222">
        <v>40</v>
      </c>
      <c r="L31" s="222">
        <v>40</v>
      </c>
      <c r="M31" s="222">
        <v>40</v>
      </c>
      <c r="N31" s="222">
        <v>40</v>
      </c>
      <c r="O31" s="222">
        <v>40</v>
      </c>
      <c r="P31" s="222">
        <v>16</v>
      </c>
      <c r="Q31" s="222">
        <v>16</v>
      </c>
      <c r="R31" s="222">
        <v>16</v>
      </c>
      <c r="S31" s="222">
        <v>16</v>
      </c>
      <c r="T31" s="222">
        <v>16</v>
      </c>
      <c r="U31" s="222">
        <v>16</v>
      </c>
      <c r="V31" s="222">
        <v>16</v>
      </c>
      <c r="W31" s="222">
        <v>16</v>
      </c>
      <c r="X31" s="222">
        <v>16</v>
      </c>
      <c r="Y31" s="210">
        <v>36</v>
      </c>
      <c r="Z31" s="210">
        <v>36</v>
      </c>
      <c r="AA31" s="210">
        <v>36</v>
      </c>
      <c r="AB31" s="210">
        <v>16</v>
      </c>
      <c r="AC31" s="210">
        <v>24</v>
      </c>
      <c r="AD31" s="210">
        <v>24</v>
      </c>
      <c r="AE31" s="210">
        <v>8</v>
      </c>
      <c r="AF31" s="222">
        <v>8</v>
      </c>
      <c r="AG31" s="222">
        <v>8</v>
      </c>
      <c r="AH31" s="222">
        <v>8</v>
      </c>
      <c r="AI31" s="222">
        <v>8</v>
      </c>
      <c r="AJ31" s="222">
        <v>8</v>
      </c>
      <c r="AK31" s="222">
        <v>8</v>
      </c>
      <c r="AL31" s="222">
        <v>8</v>
      </c>
      <c r="AM31" s="210"/>
      <c r="AN31" s="210"/>
      <c r="AO31" s="210"/>
      <c r="AP31" s="210"/>
      <c r="AQ31" s="210"/>
    </row>
    <row r="32" spans="1:43" ht="30" x14ac:dyDescent="0.25">
      <c r="A32" s="210"/>
      <c r="B32" s="10" t="s">
        <v>577</v>
      </c>
      <c r="C32" s="210"/>
      <c r="D32" s="210"/>
      <c r="E32" s="221"/>
      <c r="F32" s="221"/>
      <c r="G32" s="221"/>
      <c r="H32" s="221"/>
      <c r="I32" s="221"/>
      <c r="J32" s="221"/>
      <c r="K32" s="222">
        <v>40</v>
      </c>
      <c r="L32" s="222">
        <v>40</v>
      </c>
      <c r="M32" s="222">
        <v>40</v>
      </c>
      <c r="N32" s="222">
        <v>40</v>
      </c>
      <c r="O32" s="222">
        <v>40</v>
      </c>
      <c r="P32" s="222">
        <v>40</v>
      </c>
      <c r="Q32" s="222">
        <v>40</v>
      </c>
      <c r="R32" s="222">
        <v>40</v>
      </c>
      <c r="S32" s="222">
        <v>40</v>
      </c>
      <c r="T32" s="222">
        <v>40</v>
      </c>
      <c r="U32" s="222">
        <v>40</v>
      </c>
      <c r="V32" s="222">
        <v>40</v>
      </c>
      <c r="W32" s="222">
        <v>40</v>
      </c>
      <c r="X32" s="222">
        <v>40</v>
      </c>
      <c r="Y32" s="222">
        <v>40</v>
      </c>
      <c r="Z32" s="222">
        <v>40</v>
      </c>
      <c r="AA32" s="222">
        <v>40</v>
      </c>
      <c r="AB32" s="222">
        <v>40</v>
      </c>
      <c r="AC32" s="222">
        <v>40</v>
      </c>
      <c r="AD32" s="222">
        <v>40</v>
      </c>
      <c r="AE32" s="222">
        <v>40</v>
      </c>
      <c r="AF32" s="222">
        <v>40</v>
      </c>
      <c r="AG32" s="222">
        <v>40</v>
      </c>
      <c r="AH32" s="222">
        <v>40</v>
      </c>
      <c r="AI32" s="222">
        <v>40</v>
      </c>
      <c r="AJ32" s="222">
        <v>40</v>
      </c>
      <c r="AK32" s="222">
        <v>40</v>
      </c>
      <c r="AL32" s="222">
        <v>40</v>
      </c>
      <c r="AM32" s="222">
        <v>40</v>
      </c>
      <c r="AN32" s="222">
        <v>40</v>
      </c>
      <c r="AO32" s="210"/>
      <c r="AP32" s="210"/>
      <c r="AQ32" s="210"/>
    </row>
    <row r="33" spans="1:43" ht="15.75" customHeight="1" x14ac:dyDescent="0.25">
      <c r="A33" s="210"/>
      <c r="B33" s="223" t="s">
        <v>578</v>
      </c>
      <c r="C33" s="210"/>
      <c r="D33" s="210"/>
      <c r="E33" s="221"/>
      <c r="F33" s="221"/>
      <c r="G33" s="221"/>
      <c r="H33" s="221"/>
      <c r="I33" s="221"/>
      <c r="J33" s="221"/>
      <c r="K33" s="221"/>
      <c r="L33" s="221"/>
      <c r="M33" s="221"/>
      <c r="N33" s="221"/>
      <c r="O33" s="221"/>
      <c r="P33" s="221"/>
      <c r="Q33" s="221"/>
      <c r="R33" s="211">
        <v>40</v>
      </c>
      <c r="S33" s="211">
        <v>40</v>
      </c>
      <c r="T33" s="211">
        <v>40</v>
      </c>
      <c r="U33" s="211">
        <v>40</v>
      </c>
      <c r="V33" s="211">
        <v>40</v>
      </c>
      <c r="W33" s="211">
        <v>40</v>
      </c>
      <c r="X33" s="210"/>
      <c r="Y33" s="210"/>
      <c r="Z33" s="210"/>
      <c r="AA33" s="210"/>
      <c r="AB33" s="210"/>
      <c r="AC33" s="210"/>
      <c r="AD33" s="210"/>
      <c r="AE33" s="210"/>
      <c r="AF33" s="210"/>
      <c r="AG33" s="210"/>
      <c r="AH33" s="210"/>
      <c r="AI33" s="210"/>
      <c r="AJ33" s="210"/>
      <c r="AK33" s="210"/>
      <c r="AL33" s="210"/>
      <c r="AM33" s="210"/>
      <c r="AN33" s="210"/>
      <c r="AO33" s="210"/>
      <c r="AP33" s="210"/>
      <c r="AQ33" s="210"/>
    </row>
    <row r="34" spans="1:43" ht="15.75" customHeight="1" x14ac:dyDescent="0.25">
      <c r="A34" s="210"/>
      <c r="B34" s="11"/>
      <c r="C34" s="210"/>
      <c r="D34" s="210"/>
      <c r="E34" s="221"/>
      <c r="F34" s="221"/>
      <c r="G34" s="221"/>
      <c r="H34" s="221"/>
      <c r="I34" s="221"/>
      <c r="J34" s="221"/>
      <c r="K34" s="221"/>
      <c r="L34" s="221"/>
      <c r="M34" s="221"/>
      <c r="N34" s="221"/>
      <c r="O34" s="221"/>
      <c r="P34" s="221"/>
      <c r="Q34" s="221"/>
      <c r="R34" s="211"/>
      <c r="S34" s="8"/>
      <c r="T34" s="8"/>
      <c r="U34" s="210"/>
      <c r="V34" s="210"/>
      <c r="W34" s="210"/>
      <c r="X34" s="210"/>
      <c r="Y34" s="210"/>
      <c r="Z34" s="210"/>
      <c r="AA34" s="210"/>
      <c r="AB34" s="210"/>
      <c r="AC34" s="210"/>
      <c r="AD34" s="210"/>
      <c r="AE34" s="210"/>
      <c r="AF34" s="210"/>
      <c r="AG34" s="210"/>
      <c r="AH34" s="210"/>
      <c r="AI34" s="210"/>
      <c r="AJ34" s="210"/>
      <c r="AK34" s="210"/>
      <c r="AL34" s="210"/>
      <c r="AM34" s="210"/>
      <c r="AN34" s="210"/>
      <c r="AO34" s="210"/>
      <c r="AP34" s="210"/>
      <c r="AQ34" s="210"/>
    </row>
    <row r="35" spans="1:43" ht="15.75" customHeight="1" x14ac:dyDescent="0.25">
      <c r="A35" s="210"/>
      <c r="B35" s="11"/>
      <c r="C35" s="210"/>
      <c r="D35" s="210"/>
      <c r="E35" s="221"/>
      <c r="F35" s="221"/>
      <c r="G35" s="221"/>
      <c r="H35" s="221"/>
      <c r="I35" s="221"/>
      <c r="J35" s="221"/>
      <c r="K35" s="221"/>
      <c r="L35" s="221"/>
      <c r="M35" s="221"/>
      <c r="N35" s="221"/>
      <c r="O35" s="221"/>
      <c r="P35" s="221"/>
      <c r="Q35" s="221"/>
      <c r="R35" s="211"/>
      <c r="S35" s="8"/>
      <c r="T35" s="8"/>
      <c r="U35" s="210"/>
      <c r="V35" s="210"/>
      <c r="W35" s="210"/>
      <c r="X35" s="210"/>
      <c r="Y35" s="210"/>
      <c r="Z35" s="210"/>
      <c r="AA35" s="210"/>
      <c r="AB35" s="210"/>
      <c r="AC35" s="210"/>
      <c r="AD35" s="210"/>
      <c r="AE35" s="210"/>
      <c r="AF35" s="210"/>
      <c r="AG35" s="210"/>
      <c r="AH35" s="210"/>
      <c r="AI35" s="210"/>
      <c r="AJ35" s="210"/>
      <c r="AK35" s="210"/>
      <c r="AL35" s="210"/>
      <c r="AM35" s="210"/>
      <c r="AN35" s="210"/>
      <c r="AO35" s="210"/>
      <c r="AP35" s="210"/>
      <c r="AQ35" s="210"/>
    </row>
    <row r="36" spans="1:43" ht="15.75" customHeight="1" x14ac:dyDescent="0.25">
      <c r="A36" s="210"/>
      <c r="B36" s="11"/>
      <c r="C36" s="210"/>
      <c r="D36" s="210"/>
      <c r="E36" s="221"/>
      <c r="F36" s="221"/>
      <c r="G36" s="221"/>
      <c r="H36" s="221"/>
      <c r="I36" s="221"/>
      <c r="J36" s="221"/>
      <c r="K36" s="221"/>
      <c r="L36" s="221"/>
      <c r="M36" s="221"/>
      <c r="N36" s="221"/>
      <c r="O36" s="221"/>
      <c r="P36" s="221"/>
      <c r="Q36" s="221"/>
      <c r="R36" s="211"/>
      <c r="S36" s="8"/>
      <c r="T36" s="8"/>
      <c r="U36" s="210"/>
      <c r="V36" s="210"/>
      <c r="W36" s="210"/>
      <c r="X36" s="210"/>
      <c r="Y36" s="210"/>
      <c r="Z36" s="210"/>
      <c r="AA36" s="210"/>
      <c r="AB36" s="210"/>
      <c r="AC36" s="210"/>
      <c r="AD36" s="210"/>
      <c r="AE36" s="210"/>
      <c r="AF36" s="210"/>
      <c r="AG36" s="210"/>
      <c r="AH36" s="210"/>
      <c r="AI36" s="210"/>
      <c r="AJ36" s="210"/>
      <c r="AK36" s="210"/>
      <c r="AL36" s="210"/>
      <c r="AM36" s="210"/>
      <c r="AN36" s="210"/>
      <c r="AO36" s="210"/>
      <c r="AP36" s="210"/>
      <c r="AQ36" s="210"/>
    </row>
    <row r="37" spans="1:43" ht="15.75" customHeight="1" x14ac:dyDescent="0.25">
      <c r="A37" s="210"/>
      <c r="B37" s="11"/>
      <c r="C37" s="210"/>
      <c r="D37" s="210"/>
      <c r="E37" s="224"/>
      <c r="F37" s="224"/>
      <c r="G37" s="224"/>
      <c r="H37" s="224"/>
      <c r="I37" s="224"/>
      <c r="J37" s="224"/>
      <c r="K37" s="224"/>
      <c r="L37" s="224"/>
      <c r="M37" s="224"/>
      <c r="N37" s="224"/>
      <c r="O37" s="224"/>
      <c r="P37" s="224"/>
      <c r="Q37" s="224"/>
      <c r="R37" s="225"/>
      <c r="S37" s="9"/>
      <c r="T37" s="9"/>
      <c r="U37" s="210"/>
      <c r="V37" s="210"/>
      <c r="W37" s="210"/>
      <c r="X37" s="210"/>
      <c r="Y37" s="210"/>
      <c r="Z37" s="210"/>
      <c r="AA37" s="210"/>
      <c r="AB37" s="210"/>
      <c r="AC37" s="210"/>
      <c r="AD37" s="210"/>
      <c r="AE37" s="210"/>
      <c r="AF37" s="210"/>
      <c r="AG37" s="210"/>
      <c r="AH37" s="210"/>
      <c r="AI37" s="210"/>
      <c r="AJ37" s="210"/>
      <c r="AK37" s="210"/>
      <c r="AL37" s="210"/>
      <c r="AM37" s="210"/>
      <c r="AN37" s="210"/>
      <c r="AO37" s="210"/>
      <c r="AP37" s="210"/>
      <c r="AQ37" s="210"/>
    </row>
    <row r="38" spans="1:43" ht="15.75" customHeight="1" x14ac:dyDescent="0.25">
      <c r="A38" s="210"/>
      <c r="B38" s="11"/>
      <c r="C38" s="210"/>
      <c r="D38" s="210"/>
      <c r="E38" s="224"/>
      <c r="F38" s="224"/>
      <c r="G38" s="224"/>
      <c r="H38" s="224"/>
      <c r="I38" s="224"/>
      <c r="J38" s="224"/>
      <c r="K38" s="224"/>
      <c r="L38" s="224"/>
      <c r="M38" s="224"/>
      <c r="N38" s="224"/>
      <c r="O38" s="224"/>
      <c r="P38" s="224"/>
      <c r="Q38" s="224"/>
      <c r="R38" s="225"/>
      <c r="S38" s="9"/>
      <c r="T38" s="9"/>
      <c r="U38" s="210"/>
      <c r="V38" s="210"/>
      <c r="W38" s="210"/>
      <c r="X38" s="210"/>
      <c r="Y38" s="210"/>
      <c r="Z38" s="210"/>
      <c r="AA38" s="210"/>
      <c r="AB38" s="210"/>
      <c r="AC38" s="210"/>
      <c r="AD38" s="210"/>
      <c r="AE38" s="210"/>
      <c r="AF38" s="210"/>
      <c r="AG38" s="210"/>
      <c r="AH38" s="210"/>
      <c r="AI38" s="210"/>
      <c r="AJ38" s="210"/>
      <c r="AK38" s="210"/>
      <c r="AL38" s="210"/>
      <c r="AM38" s="210"/>
      <c r="AN38" s="210"/>
      <c r="AO38" s="210"/>
      <c r="AP38" s="210"/>
      <c r="AQ38" s="210"/>
    </row>
    <row r="39" spans="1:43" ht="15.75" customHeight="1" x14ac:dyDescent="0.25">
      <c r="A39" s="210"/>
      <c r="B39" s="11"/>
      <c r="C39" s="210"/>
      <c r="D39" s="210"/>
      <c r="E39" s="224"/>
      <c r="F39" s="224"/>
      <c r="G39" s="224"/>
      <c r="H39" s="224"/>
      <c r="I39" s="224"/>
      <c r="J39" s="224"/>
      <c r="K39" s="224"/>
      <c r="L39" s="224"/>
      <c r="M39" s="224"/>
      <c r="N39" s="224"/>
      <c r="O39" s="224"/>
      <c r="P39" s="224"/>
      <c r="Q39" s="224"/>
      <c r="R39" s="225"/>
      <c r="S39" s="9"/>
      <c r="T39" s="9"/>
      <c r="U39" s="210"/>
      <c r="V39" s="210"/>
      <c r="W39" s="210"/>
      <c r="X39" s="210"/>
      <c r="Y39" s="210"/>
      <c r="Z39" s="210"/>
      <c r="AA39" s="210"/>
      <c r="AB39" s="210"/>
      <c r="AC39" s="210"/>
      <c r="AD39" s="210"/>
      <c r="AE39" s="210"/>
      <c r="AF39" s="210"/>
      <c r="AG39" s="210"/>
      <c r="AH39" s="210"/>
      <c r="AI39" s="210"/>
      <c r="AJ39" s="210"/>
      <c r="AK39" s="210"/>
      <c r="AL39" s="210"/>
      <c r="AM39" s="210"/>
      <c r="AN39" s="210"/>
      <c r="AO39" s="210"/>
      <c r="AP39" s="210"/>
      <c r="AQ39" s="210"/>
    </row>
    <row r="40" spans="1:43" ht="15.75" customHeight="1" x14ac:dyDescent="0.25">
      <c r="A40" s="210"/>
      <c r="B40" s="11"/>
      <c r="C40" s="210"/>
      <c r="D40" s="210"/>
      <c r="E40" s="224"/>
      <c r="F40" s="224"/>
      <c r="G40" s="224"/>
      <c r="H40" s="224"/>
      <c r="I40" s="224"/>
      <c r="J40" s="224"/>
      <c r="K40" s="224"/>
      <c r="L40" s="224"/>
      <c r="M40" s="224"/>
      <c r="N40" s="224"/>
      <c r="O40" s="224"/>
      <c r="P40" s="224"/>
      <c r="Q40" s="224"/>
      <c r="R40" s="225"/>
      <c r="S40" s="9"/>
      <c r="T40" s="9"/>
      <c r="U40" s="210"/>
      <c r="V40" s="210"/>
      <c r="W40" s="210"/>
      <c r="X40" s="210"/>
      <c r="Y40" s="210"/>
      <c r="Z40" s="210"/>
      <c r="AA40" s="210"/>
      <c r="AB40" s="210"/>
      <c r="AC40" s="210"/>
      <c r="AD40" s="210"/>
      <c r="AE40" s="210"/>
      <c r="AF40" s="210"/>
      <c r="AG40" s="210"/>
      <c r="AH40" s="210"/>
      <c r="AI40" s="210"/>
      <c r="AJ40" s="210"/>
      <c r="AK40" s="210"/>
      <c r="AL40" s="210"/>
      <c r="AM40" s="210"/>
      <c r="AN40" s="210"/>
      <c r="AO40" s="210"/>
      <c r="AP40" s="210"/>
      <c r="AQ40" s="210"/>
    </row>
    <row r="41" spans="1:43" ht="15.75" customHeight="1" x14ac:dyDescent="0.25">
      <c r="A41" s="210"/>
      <c r="B41" s="11"/>
      <c r="C41" s="210"/>
      <c r="D41" s="210"/>
      <c r="E41" s="224"/>
      <c r="F41" s="224"/>
      <c r="G41" s="224"/>
      <c r="H41" s="224"/>
      <c r="I41" s="224"/>
      <c r="J41" s="224"/>
      <c r="K41" s="224"/>
      <c r="L41" s="224"/>
      <c r="M41" s="224"/>
      <c r="N41" s="224"/>
      <c r="O41" s="224"/>
      <c r="P41" s="224"/>
      <c r="Q41" s="224"/>
      <c r="R41" s="225"/>
      <c r="S41" s="9"/>
      <c r="T41" s="9"/>
      <c r="U41" s="210"/>
      <c r="V41" s="210"/>
      <c r="W41" s="210"/>
      <c r="X41" s="210"/>
      <c r="Y41" s="210"/>
      <c r="Z41" s="210"/>
      <c r="AA41" s="210"/>
      <c r="AB41" s="210"/>
      <c r="AC41" s="210"/>
      <c r="AD41" s="210"/>
      <c r="AE41" s="210"/>
      <c r="AF41" s="210"/>
      <c r="AG41" s="210"/>
      <c r="AH41" s="210"/>
      <c r="AI41" s="210"/>
      <c r="AJ41" s="210"/>
      <c r="AK41" s="210"/>
      <c r="AL41" s="210"/>
      <c r="AM41" s="210"/>
      <c r="AN41" s="210"/>
      <c r="AO41" s="210"/>
      <c r="AP41" s="210"/>
      <c r="AQ41" s="210"/>
    </row>
    <row r="42" spans="1:43" ht="15.75" customHeight="1" x14ac:dyDescent="0.25">
      <c r="A42" s="210"/>
      <c r="B42" s="11"/>
      <c r="C42" s="210"/>
      <c r="D42" s="210"/>
      <c r="E42" s="224"/>
      <c r="F42" s="224"/>
      <c r="G42" s="224"/>
      <c r="H42" s="224"/>
      <c r="I42" s="224"/>
      <c r="J42" s="224"/>
      <c r="K42" s="224"/>
      <c r="L42" s="224"/>
      <c r="M42" s="224"/>
      <c r="N42" s="224"/>
      <c r="O42" s="224"/>
      <c r="P42" s="224"/>
      <c r="Q42" s="224"/>
      <c r="R42" s="225"/>
      <c r="S42" s="9"/>
      <c r="T42" s="9"/>
      <c r="U42" s="210"/>
      <c r="V42" s="210"/>
      <c r="W42" s="210"/>
      <c r="X42" s="210"/>
      <c r="Y42" s="210"/>
      <c r="Z42" s="210"/>
      <c r="AA42" s="210"/>
      <c r="AB42" s="210"/>
      <c r="AC42" s="210"/>
      <c r="AD42" s="210"/>
      <c r="AE42" s="210"/>
      <c r="AF42" s="210"/>
      <c r="AG42" s="210"/>
      <c r="AH42" s="210"/>
      <c r="AI42" s="210"/>
      <c r="AJ42" s="210"/>
      <c r="AK42" s="210"/>
      <c r="AL42" s="210"/>
      <c r="AM42" s="210"/>
      <c r="AN42" s="210"/>
      <c r="AO42" s="210"/>
      <c r="AP42" s="210"/>
      <c r="AQ42" s="210"/>
    </row>
    <row r="43" spans="1:43" ht="15.75" customHeight="1" x14ac:dyDescent="0.25">
      <c r="A43" s="210"/>
      <c r="B43" s="11"/>
      <c r="C43" s="210"/>
      <c r="D43" s="210"/>
      <c r="E43" s="224"/>
      <c r="F43" s="224"/>
      <c r="G43" s="224"/>
      <c r="H43" s="224"/>
      <c r="I43" s="224"/>
      <c r="J43" s="224"/>
      <c r="K43" s="224"/>
      <c r="L43" s="224"/>
      <c r="M43" s="224"/>
      <c r="N43" s="224"/>
      <c r="O43" s="224"/>
      <c r="P43" s="224"/>
      <c r="Q43" s="224"/>
      <c r="R43" s="226"/>
      <c r="S43" s="210"/>
      <c r="T43" s="210"/>
      <c r="U43" s="210"/>
      <c r="V43" s="210"/>
      <c r="W43" s="210"/>
      <c r="X43" s="210"/>
      <c r="Y43" s="210"/>
      <c r="Z43" s="210"/>
      <c r="AA43" s="210"/>
      <c r="AB43" s="210"/>
      <c r="AC43" s="210"/>
      <c r="AD43" s="210"/>
      <c r="AE43" s="210"/>
      <c r="AF43" s="210"/>
      <c r="AG43" s="210"/>
      <c r="AH43" s="210"/>
      <c r="AI43" s="210"/>
      <c r="AJ43" s="210"/>
      <c r="AK43" s="210"/>
      <c r="AL43" s="210"/>
      <c r="AM43" s="210"/>
      <c r="AN43" s="210"/>
      <c r="AO43" s="210"/>
      <c r="AP43" s="210"/>
      <c r="AQ43" s="210"/>
    </row>
    <row r="44" spans="1:43" ht="15.75" customHeight="1" x14ac:dyDescent="0.25">
      <c r="A44" s="210"/>
      <c r="B44" s="11"/>
      <c r="C44" s="210"/>
      <c r="D44" s="210"/>
      <c r="E44" s="224"/>
      <c r="F44" s="224"/>
      <c r="G44" s="224"/>
      <c r="H44" s="224"/>
      <c r="I44" s="224"/>
      <c r="J44" s="224"/>
      <c r="K44" s="224"/>
      <c r="L44" s="224"/>
      <c r="M44" s="224"/>
      <c r="N44" s="224"/>
      <c r="O44" s="224"/>
      <c r="P44" s="224"/>
      <c r="Q44" s="224"/>
      <c r="R44" s="226"/>
      <c r="S44" s="210"/>
      <c r="T44" s="210"/>
      <c r="U44" s="210"/>
      <c r="V44" s="210"/>
      <c r="W44" s="210"/>
      <c r="X44" s="210"/>
      <c r="Y44" s="210"/>
      <c r="Z44" s="210"/>
      <c r="AA44" s="210"/>
      <c r="AB44" s="210"/>
      <c r="AC44" s="210"/>
      <c r="AD44" s="210"/>
      <c r="AE44" s="210"/>
      <c r="AF44" s="210"/>
      <c r="AG44" s="210"/>
      <c r="AH44" s="210"/>
      <c r="AI44" s="210"/>
      <c r="AJ44" s="210"/>
      <c r="AK44" s="210"/>
      <c r="AL44" s="210"/>
      <c r="AM44" s="210"/>
      <c r="AN44" s="210"/>
      <c r="AO44" s="210"/>
      <c r="AP44" s="210"/>
      <c r="AQ44" s="210"/>
    </row>
    <row r="45" spans="1:43" ht="15.75" customHeight="1" x14ac:dyDescent="0.25">
      <c r="A45" s="210"/>
      <c r="B45" s="225"/>
      <c r="C45" s="210"/>
      <c r="D45" s="210"/>
      <c r="E45" s="224"/>
      <c r="F45" s="224"/>
      <c r="G45" s="224"/>
      <c r="H45" s="224"/>
      <c r="I45" s="224"/>
      <c r="J45" s="224"/>
      <c r="K45" s="224"/>
      <c r="L45" s="224"/>
      <c r="M45" s="224"/>
      <c r="N45" s="224"/>
      <c r="O45" s="224"/>
      <c r="P45" s="224"/>
      <c r="Q45" s="224"/>
      <c r="R45" s="226"/>
      <c r="S45" s="210"/>
      <c r="T45" s="210"/>
      <c r="U45" s="210"/>
      <c r="V45" s="210"/>
      <c r="W45" s="210"/>
      <c r="X45" s="210"/>
      <c r="Y45" s="210"/>
      <c r="Z45" s="210"/>
      <c r="AA45" s="210"/>
      <c r="AB45" s="210"/>
      <c r="AC45" s="210"/>
      <c r="AD45" s="210"/>
      <c r="AE45" s="210"/>
      <c r="AF45" s="210"/>
      <c r="AG45" s="210"/>
      <c r="AH45" s="210"/>
      <c r="AI45" s="210"/>
      <c r="AJ45" s="210"/>
      <c r="AK45" s="210"/>
      <c r="AL45" s="210"/>
      <c r="AM45" s="210"/>
      <c r="AN45" s="210"/>
      <c r="AO45" s="210"/>
      <c r="AP45" s="210"/>
      <c r="AQ45" s="210"/>
    </row>
    <row r="46" spans="1:43" ht="15.75" customHeight="1" x14ac:dyDescent="0.25">
      <c r="A46" s="210"/>
      <c r="B46" s="11"/>
      <c r="C46" s="210"/>
      <c r="D46" s="210"/>
      <c r="E46" s="210"/>
      <c r="F46" s="210"/>
      <c r="G46" s="210"/>
      <c r="H46" s="210"/>
      <c r="I46" s="210"/>
      <c r="J46" s="210"/>
      <c r="K46" s="210"/>
      <c r="L46" s="210"/>
      <c r="M46" s="9"/>
      <c r="N46" s="210"/>
      <c r="O46" s="210"/>
      <c r="P46" s="210"/>
      <c r="Q46" s="210"/>
      <c r="R46" s="210"/>
      <c r="S46" s="210"/>
      <c r="T46" s="210"/>
      <c r="U46" s="210"/>
      <c r="V46" s="210"/>
      <c r="W46" s="210"/>
      <c r="X46" s="210"/>
      <c r="Y46" s="210"/>
      <c r="Z46" s="210"/>
      <c r="AA46" s="210"/>
      <c r="AB46" s="210"/>
      <c r="AC46" s="210"/>
      <c r="AD46" s="210"/>
      <c r="AE46" s="210"/>
      <c r="AF46" s="210"/>
      <c r="AG46" s="210"/>
      <c r="AH46" s="210"/>
      <c r="AI46" s="210"/>
      <c r="AJ46" s="210"/>
      <c r="AK46" s="210"/>
      <c r="AL46" s="210"/>
      <c r="AM46" s="210"/>
      <c r="AN46" s="210"/>
      <c r="AO46" s="210"/>
      <c r="AP46" s="210"/>
      <c r="AQ46" s="210"/>
    </row>
    <row r="47" spans="1:43" ht="15.75" customHeight="1" x14ac:dyDescent="0.25">
      <c r="A47" s="210"/>
      <c r="B47" s="11"/>
      <c r="C47" s="210"/>
      <c r="D47" s="227"/>
      <c r="E47" s="227"/>
      <c r="F47" s="227"/>
      <c r="G47" s="227"/>
      <c r="H47" s="227"/>
      <c r="I47" s="227"/>
      <c r="J47" s="227"/>
      <c r="K47" s="227"/>
      <c r="L47" s="227"/>
      <c r="M47" s="227"/>
      <c r="N47" s="227"/>
      <c r="O47" s="227"/>
      <c r="P47" s="227"/>
      <c r="Q47" s="227"/>
      <c r="R47" s="210"/>
      <c r="S47" s="210"/>
      <c r="T47" s="210"/>
      <c r="U47" s="210"/>
      <c r="V47" s="210"/>
      <c r="W47" s="210"/>
      <c r="X47" s="210"/>
      <c r="Y47" s="210"/>
      <c r="Z47" s="210"/>
      <c r="AA47" s="210"/>
      <c r="AB47" s="210"/>
      <c r="AC47" s="210"/>
      <c r="AD47" s="210"/>
      <c r="AE47" s="210"/>
      <c r="AF47" s="210"/>
      <c r="AG47" s="210"/>
      <c r="AH47" s="210"/>
      <c r="AI47" s="210"/>
      <c r="AJ47" s="210"/>
      <c r="AK47" s="210"/>
      <c r="AL47" s="210"/>
      <c r="AM47" s="210"/>
      <c r="AN47" s="210"/>
      <c r="AO47" s="210"/>
      <c r="AP47" s="210"/>
      <c r="AQ47" s="210"/>
    </row>
    <row r="48" spans="1:43" ht="15.75" customHeight="1" x14ac:dyDescent="0.25">
      <c r="A48" s="210"/>
      <c r="B48" s="11"/>
      <c r="C48" s="210"/>
      <c r="D48" s="228"/>
      <c r="E48" s="228"/>
      <c r="F48" s="228"/>
      <c r="G48" s="228"/>
      <c r="H48" s="228"/>
      <c r="I48" s="228"/>
      <c r="J48" s="228"/>
      <c r="K48" s="228"/>
      <c r="L48" s="228"/>
      <c r="M48" s="228"/>
      <c r="N48" s="228"/>
      <c r="O48" s="228"/>
      <c r="P48" s="228"/>
      <c r="Q48" s="228"/>
      <c r="R48" s="210"/>
      <c r="S48" s="210"/>
      <c r="T48" s="210"/>
      <c r="U48" s="210"/>
      <c r="V48" s="210"/>
      <c r="W48" s="210"/>
      <c r="X48" s="210"/>
      <c r="Y48" s="210"/>
      <c r="Z48" s="210"/>
      <c r="AA48" s="210"/>
      <c r="AB48" s="210"/>
      <c r="AC48" s="210"/>
      <c r="AD48" s="210"/>
      <c r="AE48" s="210"/>
      <c r="AF48" s="210"/>
      <c r="AG48" s="210"/>
      <c r="AH48" s="210"/>
      <c r="AI48" s="210"/>
      <c r="AJ48" s="210"/>
      <c r="AK48" s="210"/>
      <c r="AL48" s="210"/>
      <c r="AM48" s="210"/>
      <c r="AN48" s="210"/>
      <c r="AO48" s="210"/>
      <c r="AP48" s="210"/>
      <c r="AQ48" s="210"/>
    </row>
    <row r="49" spans="1:43" ht="15.75" customHeight="1" x14ac:dyDescent="0.25">
      <c r="A49" s="210"/>
      <c r="B49" s="11"/>
      <c r="C49" s="210"/>
      <c r="D49" s="228"/>
      <c r="E49" s="228"/>
      <c r="F49" s="228"/>
      <c r="G49" s="228"/>
      <c r="H49" s="228"/>
      <c r="I49" s="228"/>
      <c r="J49" s="228"/>
      <c r="K49" s="228"/>
      <c r="L49" s="228"/>
      <c r="M49" s="228"/>
      <c r="N49" s="228"/>
      <c r="O49" s="228"/>
      <c r="P49" s="228"/>
      <c r="Q49" s="228"/>
      <c r="R49" s="210"/>
      <c r="S49" s="210"/>
      <c r="T49" s="210"/>
      <c r="U49" s="210"/>
      <c r="V49" s="210"/>
      <c r="W49" s="210"/>
      <c r="X49" s="210"/>
      <c r="Y49" s="210"/>
      <c r="Z49" s="210"/>
      <c r="AA49" s="210"/>
      <c r="AB49" s="210"/>
      <c r="AC49" s="210"/>
      <c r="AD49" s="210"/>
      <c r="AE49" s="210"/>
      <c r="AF49" s="210"/>
      <c r="AG49" s="210"/>
      <c r="AH49" s="210"/>
      <c r="AI49" s="210"/>
      <c r="AJ49" s="210"/>
      <c r="AK49" s="210"/>
      <c r="AL49" s="210"/>
      <c r="AM49" s="210"/>
      <c r="AN49" s="210"/>
      <c r="AO49" s="210"/>
      <c r="AP49" s="210"/>
      <c r="AQ49" s="210"/>
    </row>
    <row r="50" spans="1:43" ht="15.75" customHeight="1" x14ac:dyDescent="0.25">
      <c r="A50" s="210"/>
      <c r="B50" s="11"/>
      <c r="C50" s="210"/>
      <c r="D50" s="228"/>
      <c r="E50" s="228"/>
      <c r="F50" s="228"/>
      <c r="G50" s="228"/>
      <c r="H50" s="228"/>
      <c r="I50" s="228"/>
      <c r="J50" s="228"/>
      <c r="K50" s="228"/>
      <c r="L50" s="228"/>
      <c r="M50" s="229"/>
      <c r="N50" s="228"/>
      <c r="O50" s="228"/>
      <c r="P50" s="228"/>
      <c r="Q50" s="228"/>
      <c r="R50" s="210"/>
      <c r="S50" s="210"/>
      <c r="T50" s="210"/>
      <c r="U50" s="210"/>
      <c r="V50" s="210"/>
      <c r="W50" s="210"/>
      <c r="X50" s="210"/>
      <c r="Y50" s="210"/>
      <c r="Z50" s="210"/>
      <c r="AA50" s="210"/>
      <c r="AB50" s="210"/>
      <c r="AC50" s="210"/>
      <c r="AD50" s="210"/>
      <c r="AE50" s="210"/>
      <c r="AF50" s="210"/>
      <c r="AG50" s="210"/>
      <c r="AH50" s="210"/>
      <c r="AI50" s="210"/>
      <c r="AJ50" s="210"/>
      <c r="AK50" s="210"/>
      <c r="AL50" s="210"/>
      <c r="AM50" s="210"/>
      <c r="AN50" s="210"/>
      <c r="AO50" s="210"/>
      <c r="AP50" s="210"/>
      <c r="AQ50" s="210"/>
    </row>
    <row r="51" spans="1:43" ht="15.75" customHeight="1" x14ac:dyDescent="0.25">
      <c r="A51" s="210"/>
      <c r="B51" s="11"/>
      <c r="C51" s="210"/>
      <c r="D51" s="210"/>
      <c r="E51" s="230"/>
      <c r="F51" s="230"/>
      <c r="G51" s="230"/>
      <c r="H51" s="230"/>
      <c r="I51" s="230"/>
      <c r="J51" s="210"/>
      <c r="K51" s="210"/>
      <c r="L51" s="210"/>
      <c r="M51" s="9"/>
      <c r="N51" s="210"/>
      <c r="O51" s="210"/>
      <c r="P51" s="230"/>
      <c r="Q51" s="210"/>
      <c r="R51" s="210"/>
      <c r="S51" s="210"/>
      <c r="T51" s="210"/>
      <c r="U51" s="230"/>
      <c r="V51" s="210"/>
      <c r="W51" s="210"/>
      <c r="X51" s="210"/>
      <c r="Y51" s="210"/>
      <c r="Z51" s="210"/>
      <c r="AA51" s="210"/>
      <c r="AB51" s="210"/>
      <c r="AC51" s="210"/>
      <c r="AD51" s="210"/>
      <c r="AE51" s="210"/>
      <c r="AF51" s="210"/>
      <c r="AG51" s="210"/>
      <c r="AH51" s="210"/>
      <c r="AI51" s="210"/>
      <c r="AJ51" s="210"/>
      <c r="AK51" s="210"/>
      <c r="AL51" s="210"/>
      <c r="AM51" s="210"/>
      <c r="AN51" s="210"/>
      <c r="AO51" s="210"/>
      <c r="AP51" s="210"/>
      <c r="AQ51" s="210"/>
    </row>
    <row r="52" spans="1:43" ht="15.75" customHeight="1" x14ac:dyDescent="0.25">
      <c r="A52" s="210"/>
      <c r="B52" s="11"/>
      <c r="C52" s="210"/>
      <c r="D52" s="210"/>
      <c r="E52" s="230"/>
      <c r="F52" s="230"/>
      <c r="G52" s="230"/>
      <c r="H52" s="230"/>
      <c r="I52" s="230"/>
      <c r="J52" s="210"/>
      <c r="K52" s="210"/>
      <c r="L52" s="210"/>
      <c r="M52" s="9"/>
      <c r="N52" s="210"/>
      <c r="O52" s="210"/>
      <c r="P52" s="230"/>
      <c r="Q52" s="210"/>
      <c r="R52" s="210"/>
      <c r="S52" s="210"/>
      <c r="T52" s="210"/>
      <c r="U52" s="230"/>
      <c r="V52" s="210"/>
      <c r="W52" s="210"/>
      <c r="X52" s="210"/>
      <c r="Y52" s="210"/>
      <c r="Z52" s="210"/>
      <c r="AA52" s="210"/>
      <c r="AB52" s="210"/>
      <c r="AC52" s="210"/>
      <c r="AD52" s="210"/>
      <c r="AE52" s="210"/>
      <c r="AF52" s="210"/>
      <c r="AG52" s="210"/>
      <c r="AH52" s="210"/>
      <c r="AI52" s="210"/>
      <c r="AJ52" s="210"/>
      <c r="AK52" s="210"/>
      <c r="AL52" s="210"/>
      <c r="AM52" s="210"/>
      <c r="AN52" s="210"/>
      <c r="AO52" s="210"/>
      <c r="AP52" s="210"/>
      <c r="AQ52" s="210"/>
    </row>
    <row r="53" spans="1:43" ht="15.75" customHeight="1" x14ac:dyDescent="0.25">
      <c r="A53" s="210"/>
      <c r="B53" s="11"/>
      <c r="C53" s="210"/>
      <c r="D53" s="210"/>
      <c r="E53" s="210"/>
      <c r="F53" s="210"/>
      <c r="G53" s="210"/>
      <c r="H53" s="210"/>
      <c r="I53" s="9"/>
      <c r="J53" s="210"/>
      <c r="K53" s="210"/>
      <c r="L53" s="210"/>
      <c r="M53" s="210"/>
      <c r="N53" s="210"/>
      <c r="O53" s="210"/>
      <c r="P53" s="210"/>
      <c r="Q53" s="210"/>
      <c r="R53" s="210"/>
      <c r="S53" s="210"/>
      <c r="T53" s="210"/>
      <c r="U53" s="210"/>
      <c r="V53" s="210"/>
      <c r="W53" s="210"/>
      <c r="X53" s="210"/>
      <c r="Y53" s="210"/>
      <c r="Z53" s="210"/>
      <c r="AA53" s="210"/>
      <c r="AB53" s="210"/>
      <c r="AC53" s="210"/>
      <c r="AD53" s="210"/>
      <c r="AE53" s="210"/>
      <c r="AF53" s="210"/>
      <c r="AG53" s="210"/>
      <c r="AH53" s="210"/>
      <c r="AI53" s="210"/>
      <c r="AJ53" s="210"/>
      <c r="AK53" s="210"/>
      <c r="AL53" s="210"/>
      <c r="AM53" s="210"/>
      <c r="AN53" s="210"/>
      <c r="AO53" s="210"/>
      <c r="AP53" s="210"/>
      <c r="AQ53" s="210"/>
    </row>
    <row r="54" spans="1:43" ht="15.75" customHeight="1" x14ac:dyDescent="0.25">
      <c r="A54" s="210"/>
      <c r="B54" s="11"/>
      <c r="C54" s="210"/>
      <c r="D54" s="210"/>
      <c r="E54" s="210"/>
      <c r="F54" s="210"/>
      <c r="G54" s="210"/>
      <c r="H54" s="210"/>
      <c r="I54" s="9"/>
      <c r="J54" s="210"/>
      <c r="K54" s="210"/>
      <c r="L54" s="210"/>
      <c r="M54" s="210"/>
      <c r="N54" s="210"/>
      <c r="O54" s="210"/>
      <c r="P54" s="210"/>
      <c r="Q54" s="210"/>
      <c r="R54" s="210"/>
      <c r="S54" s="210"/>
      <c r="T54" s="210"/>
      <c r="U54" s="210"/>
      <c r="V54" s="210"/>
      <c r="W54" s="210"/>
      <c r="X54" s="210"/>
      <c r="Y54" s="210"/>
      <c r="Z54" s="210"/>
      <c r="AA54" s="210"/>
      <c r="AB54" s="210"/>
      <c r="AC54" s="210"/>
      <c r="AD54" s="210"/>
      <c r="AE54" s="210"/>
      <c r="AF54" s="210"/>
      <c r="AG54" s="210"/>
      <c r="AH54" s="210"/>
      <c r="AI54" s="210"/>
      <c r="AJ54" s="210"/>
      <c r="AK54" s="210"/>
      <c r="AL54" s="210"/>
      <c r="AM54" s="210"/>
      <c r="AN54" s="210"/>
      <c r="AO54" s="210"/>
      <c r="AP54" s="210"/>
      <c r="AQ54" s="210"/>
    </row>
    <row r="55" spans="1:43" ht="15.75" customHeight="1" x14ac:dyDescent="0.25">
      <c r="A55" s="210"/>
      <c r="B55" s="11"/>
      <c r="C55" s="210"/>
      <c r="D55" s="210"/>
      <c r="E55" s="210"/>
      <c r="F55" s="210"/>
      <c r="G55" s="210"/>
      <c r="H55" s="210"/>
      <c r="I55" s="9"/>
      <c r="J55" s="210"/>
      <c r="K55" s="210"/>
      <c r="L55" s="210"/>
      <c r="M55" s="210"/>
      <c r="N55" s="210"/>
      <c r="O55" s="210"/>
      <c r="P55" s="210"/>
      <c r="Q55" s="210"/>
      <c r="R55" s="210"/>
      <c r="S55" s="210"/>
      <c r="T55" s="210"/>
      <c r="U55" s="210"/>
      <c r="V55" s="210"/>
      <c r="W55" s="210"/>
      <c r="X55" s="210"/>
      <c r="Y55" s="210"/>
      <c r="Z55" s="210"/>
      <c r="AA55" s="210"/>
      <c r="AB55" s="210"/>
      <c r="AC55" s="210"/>
      <c r="AD55" s="210"/>
      <c r="AE55" s="210"/>
      <c r="AF55" s="210"/>
      <c r="AG55" s="210"/>
      <c r="AH55" s="210"/>
      <c r="AI55" s="210"/>
      <c r="AJ55" s="210"/>
      <c r="AK55" s="210"/>
      <c r="AL55" s="210"/>
      <c r="AM55" s="210"/>
      <c r="AN55" s="210"/>
      <c r="AO55" s="210"/>
      <c r="AP55" s="210"/>
      <c r="AQ55" s="210"/>
    </row>
    <row r="56" spans="1:43" x14ac:dyDescent="0.25">
      <c r="A56" s="210"/>
      <c r="B56" s="9"/>
      <c r="C56" s="210"/>
      <c r="D56" s="210"/>
      <c r="E56" s="210"/>
      <c r="F56" s="210"/>
      <c r="G56" s="210"/>
      <c r="H56" s="210"/>
      <c r="I56" s="9"/>
      <c r="J56" s="210"/>
      <c r="K56" s="210"/>
      <c r="L56" s="210"/>
      <c r="M56" s="210"/>
      <c r="N56" s="210"/>
      <c r="O56" s="210"/>
      <c r="P56" s="210"/>
      <c r="Q56" s="210"/>
      <c r="R56" s="210"/>
      <c r="S56" s="210"/>
      <c r="T56" s="210"/>
      <c r="U56" s="210"/>
      <c r="V56" s="210"/>
      <c r="W56" s="210"/>
      <c r="X56" s="210"/>
      <c r="Y56" s="210"/>
      <c r="Z56" s="210"/>
      <c r="AA56" s="210"/>
      <c r="AB56" s="210"/>
      <c r="AC56" s="210"/>
      <c r="AD56" s="210"/>
      <c r="AE56" s="210"/>
      <c r="AF56" s="210"/>
      <c r="AG56" s="210"/>
      <c r="AH56" s="210"/>
      <c r="AI56" s="210"/>
      <c r="AJ56" s="210"/>
      <c r="AK56" s="210"/>
      <c r="AL56" s="210"/>
      <c r="AM56" s="210"/>
      <c r="AN56" s="210"/>
      <c r="AO56" s="210"/>
      <c r="AP56" s="210"/>
      <c r="AQ56" s="210"/>
    </row>
    <row r="57" spans="1:43" x14ac:dyDescent="0.25">
      <c r="A57" s="210"/>
      <c r="B57" s="9"/>
      <c r="C57" s="210"/>
      <c r="D57" s="210"/>
      <c r="E57" s="210"/>
      <c r="F57" s="210"/>
      <c r="G57" s="210"/>
      <c r="H57" s="210"/>
      <c r="I57" s="9"/>
      <c r="J57" s="210"/>
      <c r="K57" s="210"/>
      <c r="L57" s="210"/>
      <c r="M57" s="210"/>
      <c r="N57" s="210"/>
      <c r="O57" s="210"/>
      <c r="P57" s="210"/>
      <c r="Q57" s="210"/>
      <c r="R57" s="210"/>
      <c r="S57" s="210"/>
      <c r="T57" s="210"/>
      <c r="U57" s="210"/>
      <c r="V57" s="210"/>
      <c r="W57" s="210"/>
      <c r="X57" s="210"/>
      <c r="Y57" s="210"/>
      <c r="Z57" s="210"/>
      <c r="AA57" s="210"/>
      <c r="AB57" s="210"/>
      <c r="AC57" s="210"/>
      <c r="AD57" s="210"/>
      <c r="AE57" s="210"/>
      <c r="AF57" s="210"/>
      <c r="AG57" s="210"/>
      <c r="AH57" s="210"/>
      <c r="AI57" s="210"/>
      <c r="AJ57" s="210"/>
      <c r="AK57" s="210"/>
      <c r="AL57" s="210"/>
      <c r="AM57" s="210"/>
      <c r="AN57" s="210"/>
      <c r="AO57" s="210"/>
      <c r="AP57" s="210"/>
      <c r="AQ57" s="210"/>
    </row>
    <row r="58" spans="1:43" x14ac:dyDescent="0.25">
      <c r="A58" s="210"/>
      <c r="B58" s="9"/>
      <c r="C58" s="210"/>
      <c r="D58" s="210"/>
      <c r="E58" s="210"/>
      <c r="F58" s="210"/>
      <c r="G58" s="210"/>
      <c r="H58" s="210"/>
      <c r="I58" s="210"/>
      <c r="J58" s="210"/>
      <c r="K58" s="210"/>
      <c r="L58" s="210"/>
      <c r="M58" s="210"/>
      <c r="N58" s="210"/>
      <c r="O58" s="210"/>
      <c r="P58" s="210"/>
      <c r="Q58" s="210"/>
      <c r="R58" s="210"/>
      <c r="S58" s="210"/>
      <c r="T58" s="210"/>
      <c r="U58" s="210"/>
      <c r="V58" s="210"/>
      <c r="W58" s="210"/>
      <c r="X58" s="210"/>
      <c r="Y58" s="210"/>
      <c r="Z58" s="210"/>
      <c r="AA58" s="210"/>
      <c r="AB58" s="210"/>
      <c r="AC58" s="210"/>
      <c r="AD58" s="210"/>
      <c r="AE58" s="210"/>
      <c r="AF58" s="210"/>
      <c r="AG58" s="210"/>
      <c r="AH58" s="210"/>
      <c r="AI58" s="210"/>
      <c r="AJ58" s="210"/>
      <c r="AK58" s="210"/>
      <c r="AL58" s="210"/>
      <c r="AM58" s="210"/>
      <c r="AN58" s="210"/>
      <c r="AO58" s="210"/>
      <c r="AP58" s="210"/>
      <c r="AQ58" s="210"/>
    </row>
    <row r="59" spans="1:43" x14ac:dyDescent="0.25">
      <c r="A59" s="210"/>
      <c r="B59" s="9"/>
      <c r="C59" s="210"/>
      <c r="D59" s="210"/>
      <c r="E59" s="210"/>
      <c r="F59" s="210"/>
      <c r="G59" s="210"/>
      <c r="H59" s="210"/>
      <c r="I59" s="210"/>
      <c r="J59" s="210"/>
      <c r="K59" s="210"/>
      <c r="L59" s="210"/>
      <c r="M59" s="210"/>
      <c r="N59" s="210"/>
      <c r="O59" s="210"/>
      <c r="P59" s="210"/>
      <c r="Q59" s="210"/>
      <c r="R59" s="210"/>
      <c r="S59" s="210"/>
      <c r="T59" s="210"/>
      <c r="U59" s="210"/>
      <c r="V59" s="210"/>
      <c r="W59" s="210"/>
      <c r="X59" s="210"/>
      <c r="Y59" s="210"/>
      <c r="Z59" s="210"/>
      <c r="AA59" s="210"/>
      <c r="AB59" s="210"/>
      <c r="AC59" s="210"/>
      <c r="AD59" s="210"/>
      <c r="AE59" s="210"/>
      <c r="AF59" s="210"/>
      <c r="AG59" s="210"/>
      <c r="AH59" s="210"/>
      <c r="AI59" s="210"/>
      <c r="AJ59" s="210"/>
      <c r="AK59" s="210"/>
      <c r="AL59" s="210"/>
      <c r="AM59" s="210"/>
      <c r="AN59" s="210"/>
      <c r="AO59" s="210"/>
      <c r="AP59" s="210"/>
      <c r="AQ59" s="210"/>
    </row>
    <row r="60" spans="1:43" x14ac:dyDescent="0.25">
      <c r="A60" s="210"/>
      <c r="B60" s="9"/>
      <c r="C60" s="210"/>
      <c r="D60" s="210"/>
      <c r="E60" s="210"/>
      <c r="F60" s="210"/>
      <c r="G60" s="210"/>
      <c r="H60" s="210"/>
      <c r="I60" s="210"/>
      <c r="J60" s="210"/>
      <c r="K60" s="210"/>
      <c r="L60" s="210"/>
      <c r="M60" s="210"/>
      <c r="N60" s="210"/>
      <c r="O60" s="210"/>
      <c r="P60" s="210"/>
      <c r="Q60" s="210"/>
      <c r="R60" s="210"/>
      <c r="S60" s="210"/>
      <c r="T60" s="210"/>
      <c r="U60" s="210"/>
      <c r="V60" s="210"/>
      <c r="W60" s="210"/>
      <c r="X60" s="210"/>
      <c r="Y60" s="210"/>
      <c r="Z60" s="210"/>
      <c r="AA60" s="210"/>
      <c r="AB60" s="210"/>
      <c r="AC60" s="210"/>
      <c r="AD60" s="210"/>
      <c r="AE60" s="210"/>
      <c r="AF60" s="210"/>
      <c r="AG60" s="210"/>
      <c r="AH60" s="210"/>
      <c r="AI60" s="210"/>
      <c r="AJ60" s="210"/>
      <c r="AK60" s="210"/>
      <c r="AL60" s="210"/>
      <c r="AM60" s="210"/>
      <c r="AN60" s="210"/>
      <c r="AO60" s="210"/>
      <c r="AP60" s="210"/>
      <c r="AQ60" s="210"/>
    </row>
    <row r="61" spans="1:43" x14ac:dyDescent="0.25">
      <c r="A61" s="210"/>
      <c r="B61" s="9"/>
      <c r="C61" s="210"/>
      <c r="D61" s="210"/>
      <c r="E61" s="210"/>
      <c r="F61" s="210"/>
      <c r="G61" s="210"/>
      <c r="H61" s="210"/>
      <c r="I61" s="210"/>
      <c r="J61" s="210"/>
      <c r="K61" s="210"/>
      <c r="L61" s="210"/>
      <c r="M61" s="210"/>
      <c r="N61" s="210"/>
      <c r="O61" s="210"/>
      <c r="P61" s="210"/>
      <c r="Q61" s="210"/>
      <c r="R61" s="210"/>
      <c r="S61" s="210"/>
      <c r="T61" s="210"/>
      <c r="U61" s="210"/>
      <c r="V61" s="210"/>
      <c r="W61" s="210"/>
      <c r="X61" s="210"/>
      <c r="Y61" s="210"/>
      <c r="Z61" s="210"/>
      <c r="AA61" s="210"/>
      <c r="AB61" s="210"/>
      <c r="AC61" s="210"/>
      <c r="AD61" s="210"/>
      <c r="AE61" s="210"/>
      <c r="AF61" s="210"/>
      <c r="AG61" s="210"/>
      <c r="AH61" s="210"/>
      <c r="AI61" s="210"/>
      <c r="AJ61" s="210"/>
      <c r="AK61" s="210"/>
      <c r="AL61" s="210"/>
      <c r="AM61" s="210"/>
      <c r="AN61" s="210"/>
      <c r="AO61" s="210"/>
      <c r="AP61" s="210"/>
      <c r="AQ61" s="210"/>
    </row>
    <row r="62" spans="1:43" x14ac:dyDescent="0.25">
      <c r="A62" s="210"/>
      <c r="B62" s="9"/>
      <c r="C62" s="210"/>
      <c r="D62" s="210"/>
      <c r="E62" s="210"/>
      <c r="F62" s="210"/>
      <c r="G62" s="210"/>
      <c r="H62" s="210"/>
      <c r="I62" s="210"/>
      <c r="J62" s="210"/>
      <c r="K62" s="210"/>
      <c r="L62" s="210"/>
      <c r="M62" s="210"/>
      <c r="N62" s="210"/>
      <c r="O62" s="210"/>
      <c r="P62" s="210"/>
      <c r="Q62" s="210"/>
      <c r="R62" s="210"/>
      <c r="S62" s="210"/>
      <c r="T62" s="210"/>
      <c r="U62" s="210"/>
      <c r="V62" s="210"/>
      <c r="W62" s="210"/>
      <c r="X62" s="210"/>
      <c r="Y62" s="210"/>
      <c r="Z62" s="210"/>
      <c r="AA62" s="210"/>
      <c r="AB62" s="210"/>
      <c r="AC62" s="210"/>
      <c r="AD62" s="210"/>
      <c r="AE62" s="210"/>
      <c r="AF62" s="210"/>
      <c r="AG62" s="210"/>
      <c r="AH62" s="210"/>
      <c r="AI62" s="210"/>
      <c r="AJ62" s="210"/>
      <c r="AK62" s="210"/>
      <c r="AL62" s="210"/>
      <c r="AM62" s="210"/>
      <c r="AN62" s="210"/>
      <c r="AO62" s="210"/>
      <c r="AP62" s="210"/>
      <c r="AQ62" s="210"/>
    </row>
    <row r="63" spans="1:43" x14ac:dyDescent="0.25">
      <c r="A63" s="210"/>
      <c r="B63" s="9"/>
      <c r="C63" s="210"/>
      <c r="D63" s="210"/>
      <c r="E63" s="210"/>
      <c r="F63" s="210"/>
      <c r="G63" s="210"/>
      <c r="H63" s="210"/>
      <c r="I63" s="210"/>
      <c r="J63" s="210"/>
      <c r="K63" s="210"/>
      <c r="L63" s="210"/>
      <c r="M63" s="210"/>
      <c r="N63" s="210"/>
      <c r="O63" s="210"/>
      <c r="P63" s="210"/>
      <c r="Q63" s="210"/>
      <c r="R63" s="210"/>
      <c r="S63" s="210"/>
      <c r="T63" s="210"/>
      <c r="U63" s="210"/>
      <c r="V63" s="210"/>
      <c r="W63" s="210"/>
      <c r="X63" s="210"/>
      <c r="Y63" s="210"/>
      <c r="Z63" s="210"/>
      <c r="AA63" s="210"/>
      <c r="AB63" s="210"/>
      <c r="AC63" s="210"/>
      <c r="AD63" s="210"/>
      <c r="AE63" s="210"/>
      <c r="AF63" s="210"/>
      <c r="AG63" s="210"/>
      <c r="AH63" s="210"/>
      <c r="AI63" s="210"/>
      <c r="AJ63" s="210"/>
      <c r="AK63" s="210"/>
      <c r="AL63" s="210"/>
      <c r="AM63" s="210"/>
      <c r="AN63" s="210"/>
      <c r="AO63" s="210"/>
      <c r="AP63" s="210"/>
      <c r="AQ63" s="210"/>
    </row>
    <row r="64" spans="1:43" x14ac:dyDescent="0.25">
      <c r="A64" s="210"/>
      <c r="B64" s="9"/>
      <c r="C64" s="9"/>
      <c r="D64" s="9"/>
      <c r="E64" s="9"/>
      <c r="F64" s="9"/>
      <c r="G64" s="210"/>
      <c r="H64" s="210"/>
      <c r="I64" s="210"/>
      <c r="J64" s="210"/>
      <c r="K64" s="210"/>
      <c r="L64" s="210"/>
      <c r="M64" s="210"/>
      <c r="N64" s="210"/>
      <c r="O64" s="210"/>
      <c r="P64" s="210"/>
      <c r="Q64" s="210"/>
      <c r="R64" s="210"/>
      <c r="S64" s="210"/>
      <c r="T64" s="210"/>
      <c r="U64" s="210"/>
      <c r="V64" s="210"/>
      <c r="W64" s="210"/>
      <c r="X64" s="210"/>
      <c r="Y64" s="210"/>
      <c r="Z64" s="210"/>
      <c r="AA64" s="210"/>
      <c r="AB64" s="210"/>
      <c r="AC64" s="210"/>
      <c r="AD64" s="210"/>
      <c r="AE64" s="210"/>
      <c r="AF64" s="210"/>
      <c r="AG64" s="210"/>
      <c r="AH64" s="210"/>
      <c r="AI64" s="210"/>
      <c r="AJ64" s="210"/>
      <c r="AK64" s="210"/>
      <c r="AL64" s="210"/>
      <c r="AM64" s="210"/>
      <c r="AN64" s="210"/>
      <c r="AO64" s="210"/>
      <c r="AP64" s="210"/>
      <c r="AQ64" s="210"/>
    </row>
    <row r="65" spans="1:43" x14ac:dyDescent="0.25">
      <c r="A65" s="210"/>
      <c r="B65" s="9"/>
      <c r="C65" s="9"/>
      <c r="D65" s="9"/>
      <c r="E65" s="9"/>
      <c r="F65" s="9"/>
      <c r="G65" s="210"/>
      <c r="H65" s="210"/>
      <c r="I65" s="210"/>
      <c r="J65" s="210"/>
      <c r="K65" s="210"/>
      <c r="L65" s="210"/>
      <c r="M65" s="210"/>
      <c r="N65" s="210"/>
      <c r="O65" s="210"/>
      <c r="P65" s="210"/>
      <c r="Q65" s="210"/>
      <c r="R65" s="210"/>
      <c r="S65" s="210"/>
      <c r="T65" s="210"/>
      <c r="U65" s="210"/>
      <c r="V65" s="210"/>
      <c r="W65" s="210"/>
      <c r="X65" s="210"/>
      <c r="Y65" s="210"/>
      <c r="Z65" s="210"/>
      <c r="AA65" s="210"/>
      <c r="AB65" s="210"/>
      <c r="AC65" s="210"/>
      <c r="AD65" s="210"/>
      <c r="AE65" s="210"/>
      <c r="AF65" s="210"/>
      <c r="AG65" s="210"/>
      <c r="AH65" s="210"/>
      <c r="AI65" s="210"/>
      <c r="AJ65" s="210"/>
      <c r="AK65" s="210"/>
      <c r="AL65" s="210"/>
      <c r="AM65" s="210"/>
      <c r="AN65" s="210"/>
      <c r="AO65" s="210"/>
      <c r="AP65" s="210"/>
      <c r="AQ65" s="210"/>
    </row>
    <row r="66" spans="1:43" x14ac:dyDescent="0.25">
      <c r="A66" s="210"/>
      <c r="B66" s="9"/>
      <c r="C66" s="9"/>
      <c r="D66" s="9"/>
      <c r="E66" s="9"/>
      <c r="F66" s="9"/>
      <c r="G66" s="210"/>
      <c r="H66" s="210"/>
      <c r="I66" s="210"/>
      <c r="J66" s="210"/>
      <c r="K66" s="210"/>
      <c r="L66" s="210"/>
      <c r="M66" s="210"/>
      <c r="N66" s="210"/>
      <c r="O66" s="210"/>
      <c r="P66" s="210"/>
      <c r="Q66" s="210"/>
      <c r="R66" s="210"/>
      <c r="S66" s="210"/>
      <c r="T66" s="210"/>
      <c r="U66" s="210"/>
      <c r="V66" s="210"/>
      <c r="W66" s="210"/>
      <c r="X66" s="210"/>
      <c r="Y66" s="210"/>
      <c r="Z66" s="210"/>
      <c r="AA66" s="210"/>
      <c r="AB66" s="210"/>
      <c r="AC66" s="210"/>
      <c r="AD66" s="210"/>
      <c r="AE66" s="210"/>
      <c r="AF66" s="210"/>
      <c r="AG66" s="210"/>
      <c r="AH66" s="210"/>
      <c r="AI66" s="210"/>
      <c r="AJ66" s="210"/>
      <c r="AK66" s="210"/>
      <c r="AL66" s="210"/>
      <c r="AM66" s="210"/>
      <c r="AN66" s="210"/>
      <c r="AO66" s="210"/>
      <c r="AP66" s="210"/>
      <c r="AQ66" s="210"/>
    </row>
    <row r="67" spans="1:43" x14ac:dyDescent="0.25">
      <c r="A67" s="210"/>
      <c r="B67" s="9"/>
      <c r="C67" s="9"/>
      <c r="D67" s="9"/>
      <c r="E67" s="9"/>
      <c r="F67" s="9"/>
      <c r="G67" s="210"/>
      <c r="H67" s="210"/>
      <c r="I67" s="210"/>
      <c r="J67" s="210"/>
      <c r="K67" s="210"/>
      <c r="L67" s="210"/>
      <c r="M67" s="210"/>
      <c r="N67" s="210"/>
      <c r="O67" s="210"/>
      <c r="P67" s="210"/>
      <c r="Q67" s="210"/>
      <c r="R67" s="210"/>
      <c r="S67" s="210"/>
      <c r="T67" s="210"/>
      <c r="U67" s="210"/>
      <c r="V67" s="210"/>
      <c r="W67" s="210"/>
      <c r="X67" s="210"/>
      <c r="Y67" s="210"/>
      <c r="Z67" s="210"/>
      <c r="AA67" s="210"/>
      <c r="AB67" s="210"/>
      <c r="AC67" s="210"/>
      <c r="AD67" s="210"/>
      <c r="AE67" s="210"/>
      <c r="AF67" s="210"/>
      <c r="AG67" s="210"/>
      <c r="AH67" s="210"/>
      <c r="AI67" s="210"/>
      <c r="AJ67" s="210"/>
      <c r="AK67" s="210"/>
      <c r="AL67" s="210"/>
      <c r="AM67" s="210"/>
      <c r="AN67" s="210"/>
      <c r="AO67" s="210"/>
      <c r="AP67" s="210"/>
      <c r="AQ67" s="210"/>
    </row>
    <row r="68" spans="1:43" x14ac:dyDescent="0.25">
      <c r="A68" s="210"/>
      <c r="B68" s="9"/>
      <c r="C68" s="9"/>
      <c r="D68" s="9"/>
      <c r="E68" s="9"/>
      <c r="F68" s="9"/>
      <c r="G68" s="210"/>
      <c r="H68" s="210"/>
      <c r="I68" s="210"/>
      <c r="J68" s="210"/>
      <c r="K68" s="210"/>
      <c r="L68" s="210"/>
      <c r="M68" s="210"/>
      <c r="N68" s="210"/>
      <c r="O68" s="210"/>
      <c r="P68" s="210"/>
      <c r="Q68" s="210"/>
      <c r="R68" s="210"/>
      <c r="S68" s="210"/>
      <c r="T68" s="210"/>
      <c r="U68" s="210"/>
      <c r="V68" s="210"/>
      <c r="W68" s="210"/>
      <c r="X68" s="210"/>
      <c r="Y68" s="210"/>
      <c r="Z68" s="210"/>
      <c r="AA68" s="210"/>
      <c r="AB68" s="210"/>
      <c r="AC68" s="210"/>
      <c r="AD68" s="210"/>
      <c r="AE68" s="210"/>
      <c r="AF68" s="210"/>
      <c r="AG68" s="210"/>
      <c r="AH68" s="210"/>
      <c r="AI68" s="210"/>
      <c r="AJ68" s="210"/>
      <c r="AK68" s="210"/>
      <c r="AL68" s="210"/>
      <c r="AM68" s="210"/>
      <c r="AN68" s="210"/>
      <c r="AO68" s="210"/>
      <c r="AP68" s="210"/>
      <c r="AQ68" s="210"/>
    </row>
    <row r="69" spans="1:43" x14ac:dyDescent="0.25">
      <c r="A69" s="210"/>
      <c r="B69" s="9"/>
      <c r="C69" s="9"/>
      <c r="D69" s="9"/>
      <c r="E69" s="9"/>
      <c r="F69" s="9"/>
      <c r="G69" s="210"/>
      <c r="H69" s="210"/>
      <c r="I69" s="210"/>
      <c r="J69" s="210"/>
      <c r="K69" s="210"/>
      <c r="L69" s="210"/>
      <c r="M69" s="210"/>
      <c r="N69" s="210"/>
      <c r="O69" s="210"/>
      <c r="P69" s="210"/>
      <c r="Q69" s="210"/>
      <c r="R69" s="210"/>
      <c r="S69" s="210"/>
      <c r="T69" s="210"/>
      <c r="U69" s="210"/>
      <c r="V69" s="210"/>
      <c r="W69" s="210"/>
      <c r="X69" s="210"/>
      <c r="Y69" s="210"/>
      <c r="Z69" s="210"/>
      <c r="AA69" s="210"/>
      <c r="AB69" s="210"/>
      <c r="AC69" s="210"/>
      <c r="AD69" s="210"/>
      <c r="AE69" s="210"/>
      <c r="AF69" s="210"/>
      <c r="AG69" s="210"/>
      <c r="AH69" s="210"/>
      <c r="AI69" s="210"/>
      <c r="AJ69" s="210"/>
      <c r="AK69" s="210"/>
      <c r="AL69" s="210"/>
      <c r="AM69" s="210"/>
      <c r="AN69" s="210"/>
      <c r="AO69" s="210"/>
      <c r="AP69" s="210"/>
      <c r="AQ69" s="210"/>
    </row>
    <row r="70" spans="1:43" x14ac:dyDescent="0.25">
      <c r="A70" s="210"/>
      <c r="B70" s="9"/>
      <c r="C70" s="9"/>
      <c r="D70" s="9"/>
      <c r="E70" s="9"/>
      <c r="F70" s="9"/>
      <c r="G70" s="210"/>
      <c r="H70" s="210"/>
      <c r="I70" s="210"/>
      <c r="J70" s="210"/>
      <c r="K70" s="210"/>
      <c r="L70" s="210"/>
      <c r="M70" s="210"/>
      <c r="N70" s="210"/>
      <c r="O70" s="210"/>
      <c r="P70" s="210"/>
      <c r="Q70" s="210"/>
      <c r="R70" s="210"/>
      <c r="S70" s="210"/>
      <c r="T70" s="210"/>
      <c r="U70" s="210"/>
      <c r="V70" s="210"/>
      <c r="W70" s="210"/>
      <c r="X70" s="210"/>
      <c r="Y70" s="210"/>
      <c r="Z70" s="210"/>
      <c r="AA70" s="210"/>
      <c r="AB70" s="210"/>
      <c r="AC70" s="210"/>
      <c r="AD70" s="210"/>
      <c r="AE70" s="210"/>
      <c r="AF70" s="210"/>
      <c r="AG70" s="210"/>
      <c r="AH70" s="210"/>
      <c r="AI70" s="210"/>
      <c r="AJ70" s="210"/>
      <c r="AK70" s="210"/>
      <c r="AL70" s="210"/>
      <c r="AM70" s="210"/>
      <c r="AN70" s="210"/>
      <c r="AO70" s="210"/>
      <c r="AP70" s="210"/>
      <c r="AQ70" s="210"/>
    </row>
    <row r="71" spans="1:43" x14ac:dyDescent="0.25">
      <c r="A71" s="210"/>
      <c r="B71" s="9"/>
      <c r="C71" s="9"/>
      <c r="D71" s="9"/>
      <c r="E71" s="9"/>
      <c r="F71" s="9"/>
      <c r="G71" s="210"/>
      <c r="H71" s="210"/>
      <c r="I71" s="210"/>
      <c r="J71" s="210"/>
      <c r="K71" s="210"/>
      <c r="L71" s="210"/>
      <c r="M71" s="210"/>
      <c r="N71" s="210"/>
      <c r="O71" s="210"/>
      <c r="P71" s="210"/>
      <c r="Q71" s="210"/>
      <c r="R71" s="210"/>
      <c r="S71" s="210"/>
      <c r="T71" s="210"/>
      <c r="U71" s="210"/>
      <c r="V71" s="210"/>
      <c r="W71" s="210"/>
      <c r="X71" s="210"/>
      <c r="Y71" s="210"/>
      <c r="Z71" s="210"/>
      <c r="AA71" s="210"/>
      <c r="AB71" s="210"/>
      <c r="AC71" s="210"/>
      <c r="AD71" s="210"/>
      <c r="AE71" s="210"/>
      <c r="AF71" s="210"/>
      <c r="AG71" s="210"/>
      <c r="AH71" s="210"/>
      <c r="AI71" s="210"/>
      <c r="AJ71" s="210"/>
      <c r="AK71" s="210"/>
      <c r="AL71" s="210"/>
      <c r="AM71" s="210"/>
      <c r="AN71" s="210"/>
      <c r="AO71" s="210"/>
      <c r="AP71" s="210"/>
      <c r="AQ71" s="210"/>
    </row>
    <row r="72" spans="1:43" x14ac:dyDescent="0.25">
      <c r="B72" s="9"/>
      <c r="C72" s="9"/>
      <c r="D72" s="9"/>
      <c r="E72" s="9"/>
      <c r="F72" s="9"/>
      <c r="G72" s="210"/>
      <c r="H72" s="210"/>
      <c r="I72" s="210"/>
      <c r="J72" s="210"/>
      <c r="K72" s="210"/>
      <c r="L72" s="210"/>
      <c r="M72" s="210"/>
      <c r="N72" s="210"/>
      <c r="O72" s="210"/>
      <c r="P72" s="210"/>
      <c r="Q72" s="210"/>
      <c r="R72" s="210"/>
      <c r="S72" s="210"/>
      <c r="T72" s="210"/>
      <c r="U72" s="210"/>
      <c r="V72" s="210"/>
      <c r="W72" s="210"/>
      <c r="X72" s="210"/>
      <c r="Y72" s="210"/>
      <c r="Z72" s="210"/>
      <c r="AA72" s="210"/>
      <c r="AB72" s="210"/>
      <c r="AC72" s="210"/>
      <c r="AD72" s="210"/>
      <c r="AE72" s="210"/>
      <c r="AF72" s="210"/>
      <c r="AG72" s="210"/>
      <c r="AH72" s="210"/>
      <c r="AI72" s="210"/>
      <c r="AJ72" s="210"/>
      <c r="AK72" s="210"/>
      <c r="AL72" s="210"/>
      <c r="AM72" s="210"/>
      <c r="AN72" s="210"/>
      <c r="AO72" s="210"/>
      <c r="AP72" s="210"/>
    </row>
    <row r="73" spans="1:43" x14ac:dyDescent="0.25">
      <c r="B73" s="9"/>
      <c r="C73" s="9"/>
      <c r="D73" s="9"/>
      <c r="E73" s="9"/>
      <c r="F73" s="9"/>
      <c r="G73" s="210"/>
      <c r="H73" s="210"/>
      <c r="I73" s="210"/>
      <c r="J73" s="210"/>
      <c r="K73" s="210"/>
      <c r="L73" s="210"/>
      <c r="M73" s="210"/>
      <c r="N73" s="210"/>
      <c r="O73" s="210"/>
      <c r="P73" s="210"/>
      <c r="Q73" s="210"/>
      <c r="R73" s="210"/>
      <c r="S73" s="210"/>
      <c r="T73" s="210"/>
      <c r="U73" s="210"/>
      <c r="V73" s="210"/>
      <c r="W73" s="210"/>
      <c r="X73" s="210"/>
      <c r="Y73" s="210"/>
      <c r="Z73" s="210"/>
      <c r="AA73" s="210"/>
      <c r="AB73" s="210"/>
      <c r="AC73" s="210"/>
      <c r="AD73" s="210"/>
      <c r="AE73" s="210"/>
      <c r="AF73" s="210"/>
      <c r="AG73" s="210"/>
      <c r="AH73" s="210"/>
      <c r="AI73" s="210"/>
      <c r="AJ73" s="210"/>
      <c r="AK73" s="210"/>
      <c r="AL73" s="210"/>
      <c r="AM73" s="210"/>
      <c r="AN73" s="210"/>
      <c r="AO73" s="210"/>
      <c r="AP73" s="210"/>
    </row>
    <row r="74" spans="1:43" x14ac:dyDescent="0.25">
      <c r="B74" s="9"/>
      <c r="C74" s="9"/>
      <c r="D74" s="9"/>
      <c r="E74" s="9"/>
      <c r="F74" s="9"/>
      <c r="G74" s="210"/>
      <c r="H74" s="210"/>
      <c r="I74" s="210"/>
      <c r="J74" s="210"/>
      <c r="K74" s="210"/>
      <c r="L74" s="210"/>
      <c r="M74" s="210"/>
      <c r="N74" s="210"/>
      <c r="O74" s="210"/>
      <c r="P74" s="210"/>
      <c r="Q74" s="210"/>
      <c r="R74" s="210"/>
      <c r="S74" s="210"/>
      <c r="T74" s="210"/>
      <c r="U74" s="210"/>
      <c r="V74" s="210"/>
      <c r="W74" s="210"/>
      <c r="X74" s="210"/>
      <c r="Y74" s="210"/>
      <c r="Z74" s="210"/>
      <c r="AA74" s="210"/>
      <c r="AB74" s="210"/>
      <c r="AC74" s="210"/>
      <c r="AD74" s="210"/>
      <c r="AE74" s="210"/>
      <c r="AF74" s="210"/>
      <c r="AG74" s="210"/>
      <c r="AH74" s="210"/>
      <c r="AI74" s="210"/>
      <c r="AJ74" s="210"/>
      <c r="AK74" s="210"/>
      <c r="AL74" s="210"/>
      <c r="AM74" s="210"/>
      <c r="AN74" s="210"/>
      <c r="AO74" s="210"/>
      <c r="AP74" s="210"/>
    </row>
    <row r="75" spans="1:43" x14ac:dyDescent="0.25">
      <c r="B75" s="9"/>
      <c r="C75" s="9"/>
      <c r="D75" s="9"/>
      <c r="E75" s="9"/>
      <c r="F75" s="9"/>
      <c r="G75" s="210"/>
      <c r="H75" s="210"/>
      <c r="I75" s="210"/>
      <c r="J75" s="210"/>
      <c r="K75" s="210"/>
      <c r="L75" s="210"/>
      <c r="M75" s="210"/>
      <c r="N75" s="210"/>
      <c r="O75" s="210"/>
      <c r="P75" s="210"/>
      <c r="Q75" s="210"/>
      <c r="R75" s="210"/>
      <c r="S75" s="210"/>
      <c r="T75" s="210"/>
      <c r="U75" s="210"/>
      <c r="V75" s="210"/>
      <c r="W75" s="210"/>
      <c r="X75" s="210"/>
      <c r="Y75" s="210"/>
      <c r="Z75" s="210"/>
      <c r="AA75" s="210"/>
      <c r="AB75" s="210"/>
      <c r="AC75" s="210"/>
      <c r="AD75" s="210"/>
      <c r="AE75" s="210"/>
      <c r="AF75" s="210"/>
      <c r="AG75" s="210"/>
      <c r="AH75" s="210"/>
      <c r="AI75" s="210"/>
      <c r="AJ75" s="210"/>
      <c r="AK75" s="210"/>
      <c r="AL75" s="210"/>
      <c r="AM75" s="210"/>
      <c r="AN75" s="210"/>
      <c r="AO75" s="210"/>
      <c r="AP75" s="210"/>
    </row>
    <row r="76" spans="1:43" x14ac:dyDescent="0.25">
      <c r="B76" s="9"/>
      <c r="C76" s="9"/>
      <c r="D76" s="9"/>
      <c r="E76" s="9"/>
      <c r="F76" s="9"/>
      <c r="G76" s="210"/>
      <c r="H76" s="210"/>
      <c r="I76" s="210"/>
      <c r="J76" s="210"/>
      <c r="K76" s="210"/>
      <c r="L76" s="210"/>
      <c r="M76" s="210"/>
      <c r="N76" s="210"/>
      <c r="O76" s="210"/>
      <c r="P76" s="210"/>
      <c r="Q76" s="210"/>
      <c r="R76" s="210"/>
      <c r="S76" s="210"/>
      <c r="T76" s="210"/>
      <c r="U76" s="210"/>
      <c r="V76" s="210"/>
      <c r="W76" s="210"/>
      <c r="X76" s="210"/>
      <c r="Y76" s="210"/>
      <c r="Z76" s="210"/>
      <c r="AA76" s="210"/>
      <c r="AB76" s="210"/>
      <c r="AC76" s="210"/>
      <c r="AD76" s="210"/>
      <c r="AE76" s="210"/>
      <c r="AF76" s="210"/>
      <c r="AG76" s="210"/>
      <c r="AH76" s="210"/>
      <c r="AI76" s="210"/>
      <c r="AJ76" s="210"/>
      <c r="AK76" s="210"/>
      <c r="AL76" s="210"/>
      <c r="AM76" s="210"/>
      <c r="AN76" s="210"/>
    </row>
    <row r="77" spans="1:43" x14ac:dyDescent="0.25">
      <c r="B77" s="9"/>
      <c r="C77" s="9"/>
      <c r="D77" s="9"/>
      <c r="E77" s="9"/>
      <c r="F77" s="9"/>
      <c r="G77" s="210"/>
      <c r="H77" s="210"/>
      <c r="I77" s="210"/>
      <c r="J77" s="210"/>
      <c r="K77" s="210"/>
      <c r="L77" s="210"/>
      <c r="M77" s="210"/>
      <c r="N77" s="210"/>
      <c r="O77" s="210"/>
      <c r="P77" s="210"/>
      <c r="Q77" s="210"/>
      <c r="R77" s="210"/>
      <c r="S77" s="210"/>
      <c r="T77" s="210"/>
      <c r="U77" s="210"/>
      <c r="V77" s="210"/>
      <c r="W77" s="210"/>
      <c r="X77" s="210"/>
      <c r="Y77" s="210"/>
      <c r="Z77" s="210"/>
      <c r="AA77" s="210"/>
      <c r="AB77" s="210"/>
      <c r="AC77" s="210"/>
      <c r="AD77" s="210"/>
      <c r="AE77" s="210"/>
      <c r="AF77" s="210"/>
      <c r="AG77" s="210"/>
      <c r="AH77" s="210"/>
      <c r="AI77" s="210"/>
      <c r="AJ77" s="210"/>
      <c r="AK77" s="210"/>
      <c r="AL77" s="210"/>
      <c r="AM77" s="210"/>
      <c r="AN77" s="210"/>
    </row>
  </sheetData>
  <sheetProtection algorithmName="SHA-512" hashValue="Xm8D/B69lj0MfaNEOZnNt2sJwMBjQTS7pTBMOdKGE3hr4ZRB1sM6AVdIO73nmIWcsfkAXB75BN6jSDrXizx1vA==" saltValue="g0MmTJcBIvdufPXZYNnvuQ==" spinCount="100000" sheet="1" objects="1" scenarios="1"/>
  <mergeCells count="14">
    <mergeCell ref="AJ21:AK21"/>
    <mergeCell ref="AM23:AN23"/>
    <mergeCell ref="W12:X12"/>
    <mergeCell ref="Z14:AA14"/>
    <mergeCell ref="AC16:AD16"/>
    <mergeCell ref="AE17:AF17"/>
    <mergeCell ref="Q19:X19"/>
    <mergeCell ref="AH20:AI20"/>
    <mergeCell ref="R11:W11"/>
    <mergeCell ref="G2:W2"/>
    <mergeCell ref="D7:F7"/>
    <mergeCell ref="G8:K8"/>
    <mergeCell ref="L9:W9"/>
    <mergeCell ref="J10:W1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FF43D-786F-4C4C-8707-0B2C5DAEB2B7}">
  <sheetPr codeName="Sheet9"/>
  <dimension ref="A1:H40"/>
  <sheetViews>
    <sheetView zoomScale="104" workbookViewId="0"/>
  </sheetViews>
  <sheetFormatPr defaultRowHeight="15" x14ac:dyDescent="0.25"/>
  <cols>
    <col min="1" max="3" width="50.5703125" style="111" customWidth="1"/>
    <col min="4" max="4" width="50.5703125" customWidth="1"/>
    <col min="5" max="5" width="40.85546875" customWidth="1"/>
    <col min="6" max="6" width="31.85546875" customWidth="1"/>
    <col min="7" max="7" width="42.42578125" customWidth="1"/>
    <col min="8" max="8" width="21.28515625" customWidth="1"/>
  </cols>
  <sheetData>
    <row r="1" spans="1:8" ht="18.75" x14ac:dyDescent="0.3">
      <c r="A1" s="233" t="s">
        <v>579</v>
      </c>
      <c r="B1" s="233" t="s">
        <v>580</v>
      </c>
      <c r="C1" s="233" t="s">
        <v>554</v>
      </c>
      <c r="D1" s="233" t="s">
        <v>581</v>
      </c>
      <c r="E1" s="233" t="s">
        <v>582</v>
      </c>
      <c r="F1" s="233" t="s">
        <v>583</v>
      </c>
      <c r="G1" s="233" t="s">
        <v>584</v>
      </c>
      <c r="H1" s="233" t="s">
        <v>585</v>
      </c>
    </row>
    <row r="3" spans="1:8" s="36" customFormat="1" ht="30" x14ac:dyDescent="0.25">
      <c r="A3" s="234" t="s">
        <v>586</v>
      </c>
      <c r="B3" s="234" t="s">
        <v>587</v>
      </c>
      <c r="C3" s="234" t="s">
        <v>588</v>
      </c>
      <c r="D3" s="234" t="s">
        <v>589</v>
      </c>
      <c r="E3" s="234" t="s">
        <v>590</v>
      </c>
      <c r="F3" s="234" t="s">
        <v>591</v>
      </c>
      <c r="G3" s="234" t="s">
        <v>592</v>
      </c>
      <c r="H3" s="234" t="s">
        <v>593</v>
      </c>
    </row>
    <row r="4" spans="1:8" s="36" customFormat="1" ht="30" x14ac:dyDescent="0.25">
      <c r="A4" s="96" t="s">
        <v>594</v>
      </c>
      <c r="B4" s="96" t="s">
        <v>595</v>
      </c>
      <c r="C4" s="96" t="s">
        <v>596</v>
      </c>
      <c r="D4" s="96" t="s">
        <v>597</v>
      </c>
      <c r="E4" s="96" t="s">
        <v>598</v>
      </c>
      <c r="F4" s="96" t="s">
        <v>599</v>
      </c>
      <c r="G4" s="96" t="s">
        <v>600</v>
      </c>
    </row>
    <row r="5" spans="1:8" s="36" customFormat="1" ht="30" x14ac:dyDescent="0.25">
      <c r="A5" s="96" t="s">
        <v>601</v>
      </c>
      <c r="B5" s="96" t="s">
        <v>602</v>
      </c>
      <c r="C5" s="96" t="s">
        <v>603</v>
      </c>
      <c r="D5" s="96" t="s">
        <v>604</v>
      </c>
      <c r="E5" s="96" t="s">
        <v>605</v>
      </c>
      <c r="F5" s="96" t="s">
        <v>606</v>
      </c>
      <c r="G5" s="96" t="s">
        <v>607</v>
      </c>
    </row>
    <row r="6" spans="1:8" s="36" customFormat="1" x14ac:dyDescent="0.25">
      <c r="A6" s="234"/>
      <c r="B6" s="96" t="s">
        <v>608</v>
      </c>
      <c r="C6" s="96" t="s">
        <v>609</v>
      </c>
      <c r="D6" s="36" t="s">
        <v>610</v>
      </c>
      <c r="F6" s="36" t="s">
        <v>611</v>
      </c>
    </row>
    <row r="7" spans="1:8" s="36" customFormat="1" x14ac:dyDescent="0.25">
      <c r="A7" s="234" t="s">
        <v>612</v>
      </c>
      <c r="B7" s="96"/>
      <c r="C7" s="96"/>
      <c r="D7" s="36" t="s">
        <v>613</v>
      </c>
      <c r="E7" s="234" t="s">
        <v>614</v>
      </c>
      <c r="F7" s="36" t="s">
        <v>615</v>
      </c>
      <c r="G7" s="235" t="s">
        <v>616</v>
      </c>
    </row>
    <row r="8" spans="1:8" s="36" customFormat="1" x14ac:dyDescent="0.25">
      <c r="A8" s="96" t="s">
        <v>617</v>
      </c>
      <c r="B8" s="234" t="s">
        <v>618</v>
      </c>
      <c r="C8" s="234" t="s">
        <v>618</v>
      </c>
      <c r="D8" s="36" t="s">
        <v>619</v>
      </c>
      <c r="E8" s="96" t="s">
        <v>620</v>
      </c>
      <c r="G8" s="36" t="s">
        <v>621</v>
      </c>
    </row>
    <row r="9" spans="1:8" s="36" customFormat="1" x14ac:dyDescent="0.25">
      <c r="A9" s="96" t="s">
        <v>622</v>
      </c>
      <c r="B9" s="96" t="s">
        <v>623</v>
      </c>
      <c r="C9" s="96" t="s">
        <v>624</v>
      </c>
      <c r="D9" s="96" t="s">
        <v>625</v>
      </c>
      <c r="E9" s="96" t="s">
        <v>626</v>
      </c>
    </row>
    <row r="10" spans="1:8" s="36" customFormat="1" x14ac:dyDescent="0.25">
      <c r="A10" s="96" t="s">
        <v>627</v>
      </c>
      <c r="B10" s="96" t="s">
        <v>628</v>
      </c>
      <c r="C10" s="96" t="s">
        <v>629</v>
      </c>
      <c r="D10" s="36" t="s">
        <v>630</v>
      </c>
      <c r="F10" s="234" t="s">
        <v>616</v>
      </c>
      <c r="G10" s="236" t="s">
        <v>631</v>
      </c>
    </row>
    <row r="11" spans="1:8" s="36" customFormat="1" x14ac:dyDescent="0.25">
      <c r="A11" s="96" t="s">
        <v>632</v>
      </c>
      <c r="B11" s="96" t="s">
        <v>633</v>
      </c>
      <c r="C11" s="96" t="s">
        <v>634</v>
      </c>
      <c r="D11" s="96"/>
      <c r="E11" s="235" t="s">
        <v>635</v>
      </c>
      <c r="F11" s="96" t="s">
        <v>636</v>
      </c>
    </row>
    <row r="12" spans="1:8" s="36" customFormat="1" x14ac:dyDescent="0.25">
      <c r="A12" s="96" t="s">
        <v>637</v>
      </c>
      <c r="B12" s="96"/>
      <c r="C12" s="96" t="s">
        <v>638</v>
      </c>
      <c r="D12" s="235" t="s">
        <v>639</v>
      </c>
      <c r="E12" s="36" t="s">
        <v>640</v>
      </c>
      <c r="F12" s="96" t="s">
        <v>564</v>
      </c>
    </row>
    <row r="13" spans="1:8" s="36" customFormat="1" ht="30" x14ac:dyDescent="0.25">
      <c r="A13" s="96"/>
      <c r="B13" s="236" t="s">
        <v>641</v>
      </c>
      <c r="C13" s="96" t="s">
        <v>642</v>
      </c>
      <c r="D13" s="36" t="s">
        <v>643</v>
      </c>
      <c r="E13" s="96" t="s">
        <v>644</v>
      </c>
      <c r="F13" s="96" t="s">
        <v>645</v>
      </c>
    </row>
    <row r="14" spans="1:8" s="36" customFormat="1" x14ac:dyDescent="0.25">
      <c r="A14" s="234" t="s">
        <v>646</v>
      </c>
      <c r="B14" s="96"/>
      <c r="C14" s="96" t="s">
        <v>647</v>
      </c>
      <c r="E14" s="96" t="s">
        <v>648</v>
      </c>
      <c r="F14" s="96"/>
    </row>
    <row r="15" spans="1:8" s="36" customFormat="1" ht="30" x14ac:dyDescent="0.25">
      <c r="A15" s="96" t="s">
        <v>649</v>
      </c>
      <c r="B15" s="96"/>
      <c r="C15" s="96" t="s">
        <v>650</v>
      </c>
      <c r="D15" s="235" t="s">
        <v>651</v>
      </c>
      <c r="E15" s="96" t="s">
        <v>652</v>
      </c>
    </row>
    <row r="16" spans="1:8" s="36" customFormat="1" ht="30" x14ac:dyDescent="0.25">
      <c r="A16" s="96" t="s">
        <v>653</v>
      </c>
      <c r="B16" s="96"/>
      <c r="C16" s="96"/>
      <c r="D16" s="36" t="s">
        <v>654</v>
      </c>
      <c r="E16" s="96" t="s">
        <v>655</v>
      </c>
    </row>
    <row r="17" spans="1:5" s="36" customFormat="1" ht="30" x14ac:dyDescent="0.25">
      <c r="A17" s="96" t="s">
        <v>656</v>
      </c>
      <c r="B17" s="96"/>
      <c r="C17" s="236" t="s">
        <v>657</v>
      </c>
      <c r="D17" s="36" t="s">
        <v>658</v>
      </c>
    </row>
    <row r="18" spans="1:5" s="36" customFormat="1" x14ac:dyDescent="0.25">
      <c r="A18" s="96"/>
      <c r="B18" s="96"/>
      <c r="C18" s="96"/>
      <c r="D18" s="36" t="s">
        <v>659</v>
      </c>
      <c r="E18" s="234" t="s">
        <v>660</v>
      </c>
    </row>
    <row r="19" spans="1:5" s="36" customFormat="1" x14ac:dyDescent="0.25">
      <c r="A19" s="234" t="s">
        <v>661</v>
      </c>
      <c r="B19" s="96"/>
      <c r="C19" s="96"/>
      <c r="D19" s="36" t="s">
        <v>662</v>
      </c>
      <c r="E19" s="96" t="s">
        <v>663</v>
      </c>
    </row>
    <row r="20" spans="1:5" s="36" customFormat="1" x14ac:dyDescent="0.25">
      <c r="A20" s="96" t="s">
        <v>664</v>
      </c>
      <c r="B20" s="96"/>
      <c r="C20" s="96"/>
      <c r="D20" s="36" t="s">
        <v>665</v>
      </c>
      <c r="E20" s="96" t="s">
        <v>666</v>
      </c>
    </row>
    <row r="21" spans="1:5" s="36" customFormat="1" x14ac:dyDescent="0.25">
      <c r="A21" s="96" t="s">
        <v>667</v>
      </c>
      <c r="B21" s="96"/>
      <c r="C21" s="96"/>
      <c r="D21" s="36" t="s">
        <v>668</v>
      </c>
      <c r="E21" s="96" t="s">
        <v>669</v>
      </c>
    </row>
    <row r="22" spans="1:5" s="36" customFormat="1" x14ac:dyDescent="0.25">
      <c r="A22" s="96" t="s">
        <v>670</v>
      </c>
      <c r="B22" s="96"/>
      <c r="C22" s="96"/>
      <c r="D22" s="36" t="s">
        <v>671</v>
      </c>
    </row>
    <row r="23" spans="1:5" s="36" customFormat="1" ht="30" x14ac:dyDescent="0.25">
      <c r="A23" s="96"/>
      <c r="B23" s="96"/>
      <c r="C23" s="96"/>
      <c r="D23" s="36" t="s">
        <v>672</v>
      </c>
      <c r="E23" s="236" t="s">
        <v>673</v>
      </c>
    </row>
    <row r="24" spans="1:5" s="36" customFormat="1" x14ac:dyDescent="0.25">
      <c r="A24" s="234" t="s">
        <v>674</v>
      </c>
      <c r="B24" s="96"/>
      <c r="C24" s="96"/>
      <c r="D24" s="36" t="s">
        <v>675</v>
      </c>
    </row>
    <row r="25" spans="1:5" s="36" customFormat="1" x14ac:dyDescent="0.25">
      <c r="A25" s="96" t="s">
        <v>676</v>
      </c>
      <c r="B25" s="96"/>
      <c r="C25" s="96"/>
      <c r="D25" s="36" t="s">
        <v>677</v>
      </c>
    </row>
    <row r="26" spans="1:5" s="36" customFormat="1" x14ac:dyDescent="0.25">
      <c r="A26" s="96" t="s">
        <v>678</v>
      </c>
      <c r="B26" s="96"/>
      <c r="C26" s="96"/>
      <c r="D26" s="36" t="s">
        <v>679</v>
      </c>
    </row>
    <row r="27" spans="1:5" s="36" customFormat="1" x14ac:dyDescent="0.25">
      <c r="A27" s="96" t="s">
        <v>680</v>
      </c>
      <c r="B27" s="96"/>
      <c r="C27" s="96"/>
      <c r="D27" s="36" t="s">
        <v>681</v>
      </c>
    </row>
    <row r="28" spans="1:5" s="36" customFormat="1" x14ac:dyDescent="0.25">
      <c r="A28" s="96" t="s">
        <v>682</v>
      </c>
      <c r="B28" s="96"/>
      <c r="C28" s="96"/>
      <c r="D28" s="36" t="s">
        <v>683</v>
      </c>
    </row>
    <row r="29" spans="1:5" s="36" customFormat="1" x14ac:dyDescent="0.25">
      <c r="A29" s="96" t="s">
        <v>684</v>
      </c>
      <c r="B29" s="96"/>
      <c r="C29" s="96"/>
      <c r="D29" s="36" t="s">
        <v>685</v>
      </c>
    </row>
    <row r="30" spans="1:5" s="36" customFormat="1" x14ac:dyDescent="0.25">
      <c r="A30" s="96" t="s">
        <v>686</v>
      </c>
      <c r="B30" s="96"/>
      <c r="C30" s="96"/>
      <c r="D30" s="36" t="s">
        <v>687</v>
      </c>
    </row>
    <row r="31" spans="1:5" s="36" customFormat="1" x14ac:dyDescent="0.25">
      <c r="A31" s="96" t="s">
        <v>688</v>
      </c>
      <c r="B31" s="96"/>
      <c r="C31" s="96"/>
      <c r="D31" s="36" t="s">
        <v>689</v>
      </c>
    </row>
    <row r="32" spans="1:5" s="36" customFormat="1" x14ac:dyDescent="0.25">
      <c r="A32" s="96" t="s">
        <v>690</v>
      </c>
      <c r="B32" s="96"/>
      <c r="C32" s="96"/>
      <c r="D32" s="36" t="s">
        <v>691</v>
      </c>
    </row>
    <row r="33" spans="1:4" s="36" customFormat="1" x14ac:dyDescent="0.25">
      <c r="A33" s="96"/>
      <c r="B33" s="96"/>
      <c r="C33" s="96"/>
      <c r="D33" s="36" t="s">
        <v>692</v>
      </c>
    </row>
    <row r="34" spans="1:4" s="36" customFormat="1" x14ac:dyDescent="0.25">
      <c r="A34" s="96"/>
      <c r="B34" s="96"/>
      <c r="C34" s="96"/>
      <c r="D34" s="36" t="s">
        <v>693</v>
      </c>
    </row>
    <row r="35" spans="1:4" s="36" customFormat="1" x14ac:dyDescent="0.25">
      <c r="A35" s="96"/>
      <c r="B35" s="96"/>
      <c r="C35" s="96"/>
    </row>
    <row r="36" spans="1:4" s="36" customFormat="1" ht="30" x14ac:dyDescent="0.25">
      <c r="A36" s="96"/>
      <c r="B36" s="96"/>
      <c r="C36" s="96"/>
      <c r="D36" s="236" t="s">
        <v>694</v>
      </c>
    </row>
    <row r="37" spans="1:4" s="36" customFormat="1" x14ac:dyDescent="0.25">
      <c r="A37" s="96"/>
      <c r="B37" s="96"/>
      <c r="C37" s="96"/>
    </row>
    <row r="38" spans="1:4" s="36" customFormat="1" x14ac:dyDescent="0.25">
      <c r="A38" s="96"/>
      <c r="B38" s="96"/>
      <c r="C38" s="96"/>
    </row>
    <row r="39" spans="1:4" s="36" customFormat="1" x14ac:dyDescent="0.25">
      <c r="A39" s="111"/>
      <c r="B39" s="96"/>
      <c r="C39" s="96"/>
    </row>
    <row r="40" spans="1:4" s="36" customFormat="1" x14ac:dyDescent="0.25">
      <c r="A40" s="111"/>
      <c r="B40" s="96"/>
      <c r="C40" s="96"/>
    </row>
  </sheetData>
  <sheetProtection algorithmName="SHA-512" hashValue="nSREVxJyjakQFfXMwYxk01eBPyXh2APvQnWdFaH7Ep0ehMNgD4qpsXKXXK22RB4K9wIp0lYUYkIWAvwnYcvoMA==" saltValue="vxk3dfCOgJqeanIUcPyJHA==" spinCount="100000" sheet="1" objects="1" scenarios="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346DE-E621-47F7-ACB3-CC5974E25815}">
  <sheetPr codeName="Sheet10"/>
  <dimension ref="A1:B28"/>
  <sheetViews>
    <sheetView workbookViewId="0"/>
  </sheetViews>
  <sheetFormatPr defaultRowHeight="15" x14ac:dyDescent="0.25"/>
  <cols>
    <col min="2" max="2" width="55" customWidth="1"/>
  </cols>
  <sheetData>
    <row r="1" spans="1:2" x14ac:dyDescent="0.25">
      <c r="A1" t="s">
        <v>695</v>
      </c>
    </row>
    <row r="2" spans="1:2" x14ac:dyDescent="0.25">
      <c r="A2" t="s">
        <v>696</v>
      </c>
    </row>
    <row r="3" spans="1:2" x14ac:dyDescent="0.25">
      <c r="A3" t="s">
        <v>697</v>
      </c>
    </row>
    <row r="4" spans="1:2" x14ac:dyDescent="0.25">
      <c r="A4" t="s">
        <v>698</v>
      </c>
    </row>
    <row r="5" spans="1:2" x14ac:dyDescent="0.25">
      <c r="A5" t="s">
        <v>699</v>
      </c>
    </row>
    <row r="6" spans="1:2" x14ac:dyDescent="0.25">
      <c r="A6" t="s">
        <v>700</v>
      </c>
    </row>
    <row r="7" spans="1:2" x14ac:dyDescent="0.25">
      <c r="A7" t="s">
        <v>556</v>
      </c>
    </row>
    <row r="8" spans="1:2" x14ac:dyDescent="0.25">
      <c r="B8" t="s">
        <v>701</v>
      </c>
    </row>
    <row r="9" spans="1:2" x14ac:dyDescent="0.25">
      <c r="B9" t="s">
        <v>702</v>
      </c>
    </row>
    <row r="10" spans="1:2" x14ac:dyDescent="0.25">
      <c r="B10" t="s">
        <v>703</v>
      </c>
    </row>
    <row r="11" spans="1:2" x14ac:dyDescent="0.25">
      <c r="A11" t="s">
        <v>704</v>
      </c>
    </row>
    <row r="12" spans="1:2" x14ac:dyDescent="0.25">
      <c r="B12" t="s">
        <v>705</v>
      </c>
    </row>
    <row r="13" spans="1:2" x14ac:dyDescent="0.25">
      <c r="B13" t="s">
        <v>706</v>
      </c>
    </row>
    <row r="14" spans="1:2" x14ac:dyDescent="0.25">
      <c r="A14" t="s">
        <v>707</v>
      </c>
    </row>
    <row r="15" spans="1:2" x14ac:dyDescent="0.25">
      <c r="B15" t="s">
        <v>708</v>
      </c>
    </row>
    <row r="16" spans="1:2" x14ac:dyDescent="0.25">
      <c r="B16" t="s">
        <v>709</v>
      </c>
    </row>
    <row r="17" spans="1:2" x14ac:dyDescent="0.25">
      <c r="A17" t="s">
        <v>710</v>
      </c>
    </row>
    <row r="18" spans="1:2" x14ac:dyDescent="0.25">
      <c r="B18" t="s">
        <v>711</v>
      </c>
    </row>
    <row r="19" spans="1:2" x14ac:dyDescent="0.25">
      <c r="B19" t="s">
        <v>712</v>
      </c>
    </row>
    <row r="20" spans="1:2" x14ac:dyDescent="0.25">
      <c r="A20" t="s">
        <v>713</v>
      </c>
    </row>
    <row r="21" spans="1:2" x14ac:dyDescent="0.25">
      <c r="B21" t="s">
        <v>714</v>
      </c>
    </row>
    <row r="22" spans="1:2" x14ac:dyDescent="0.25">
      <c r="B22" t="s">
        <v>715</v>
      </c>
    </row>
    <row r="23" spans="1:2" x14ac:dyDescent="0.25">
      <c r="A23" t="s">
        <v>716</v>
      </c>
    </row>
    <row r="24" spans="1:2" x14ac:dyDescent="0.25">
      <c r="B24" t="s">
        <v>717</v>
      </c>
    </row>
    <row r="25" spans="1:2" x14ac:dyDescent="0.25">
      <c r="B25" t="s">
        <v>718</v>
      </c>
    </row>
    <row r="26" spans="1:2" x14ac:dyDescent="0.25">
      <c r="A26" t="s">
        <v>719</v>
      </c>
    </row>
    <row r="27" spans="1:2" x14ac:dyDescent="0.25">
      <c r="B27" t="s">
        <v>720</v>
      </c>
    </row>
    <row r="28" spans="1:2" x14ac:dyDescent="0.25">
      <c r="B28" t="s">
        <v>721</v>
      </c>
    </row>
  </sheetData>
  <sheetProtection algorithmName="SHA-512" hashValue="I2ls6QKwNzG1n4AJny3F+wgpVN9hZe/8UZNew/mJHF+JakH18Jfn+sVYbsPyr2Ule+6Uc0FCk37CVBABTOe37A==" saltValue="fkPWdyQ/Ua3Oh6cVgvOwfg==" spinCount="100000" sheet="1" objects="1" scenarios="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8CB0B-36F5-4FF3-9B01-8C5CC4977DC0}">
  <sheetPr codeName="Sheet2"/>
  <dimension ref="A1:AE133"/>
  <sheetViews>
    <sheetView workbookViewId="0"/>
  </sheetViews>
  <sheetFormatPr defaultRowHeight="15" x14ac:dyDescent="0.25"/>
  <cols>
    <col min="1" max="1" width="18.140625" customWidth="1"/>
    <col min="27" max="27" width="9.42578125" bestFit="1" customWidth="1"/>
  </cols>
  <sheetData>
    <row r="1" spans="1:31" ht="18.75" x14ac:dyDescent="0.3">
      <c r="A1" s="15" t="s">
        <v>722</v>
      </c>
      <c r="B1" s="16"/>
      <c r="C1" s="16"/>
      <c r="D1" s="16"/>
      <c r="E1" s="16"/>
      <c r="F1" s="16"/>
      <c r="G1" s="16"/>
      <c r="H1" s="16"/>
      <c r="I1" s="16"/>
      <c r="J1" s="16"/>
      <c r="K1" s="16"/>
      <c r="L1" s="16"/>
      <c r="M1" s="16"/>
      <c r="N1" s="16"/>
      <c r="O1" s="16"/>
      <c r="P1" s="16"/>
      <c r="Q1" s="16"/>
      <c r="R1" s="16"/>
      <c r="S1" s="16"/>
      <c r="T1" s="16"/>
      <c r="U1" s="16"/>
      <c r="V1" s="16"/>
      <c r="W1" s="16"/>
      <c r="X1" s="16"/>
      <c r="Y1" s="16"/>
      <c r="Z1" s="16"/>
      <c r="AA1" s="289">
        <v>45923</v>
      </c>
      <c r="AB1" s="16"/>
      <c r="AC1" s="16"/>
      <c r="AD1" s="16"/>
      <c r="AE1" s="16"/>
    </row>
    <row r="2" spans="1:31" x14ac:dyDescent="0.25">
      <c r="A2" s="16"/>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row>
    <row r="3" spans="1:31" x14ac:dyDescent="0.25">
      <c r="A3" s="16"/>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row>
    <row r="4" spans="1:31" x14ac:dyDescent="0.25">
      <c r="A4" s="16"/>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row>
    <row r="5" spans="1:31" x14ac:dyDescent="0.2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row>
    <row r="6" spans="1:31" x14ac:dyDescent="0.25">
      <c r="A6" s="16"/>
      <c r="B6" s="16"/>
      <c r="C6" s="16"/>
      <c r="D6" s="16"/>
      <c r="E6" s="16"/>
      <c r="F6" s="16"/>
      <c r="G6" s="16"/>
      <c r="H6" s="16"/>
      <c r="I6" s="16"/>
      <c r="J6" s="16"/>
      <c r="K6" s="16"/>
      <c r="L6" s="16"/>
      <c r="M6" s="16"/>
      <c r="N6" s="16"/>
      <c r="O6" s="16"/>
      <c r="P6" s="16"/>
      <c r="Q6" s="16"/>
      <c r="R6" s="16"/>
      <c r="S6" s="16"/>
      <c r="T6" s="16"/>
      <c r="U6" s="16"/>
      <c r="V6" s="16"/>
      <c r="W6" s="16"/>
      <c r="X6" s="16"/>
      <c r="Y6" s="16"/>
      <c r="Z6" s="16"/>
      <c r="AA6" s="16"/>
      <c r="AB6" s="16"/>
      <c r="AC6" s="16"/>
      <c r="AD6" s="16"/>
      <c r="AE6" s="16"/>
    </row>
    <row r="7" spans="1:31" x14ac:dyDescent="0.25">
      <c r="A7" s="16"/>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row>
    <row r="8" spans="1:31" x14ac:dyDescent="0.25">
      <c r="A8" s="16"/>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row>
    <row r="9" spans="1:31" x14ac:dyDescent="0.25">
      <c r="A9" s="16"/>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row>
    <row r="10" spans="1:31" x14ac:dyDescent="0.25">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row>
    <row r="11" spans="1:31" x14ac:dyDescent="0.25">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row>
    <row r="12" spans="1:31" x14ac:dyDescent="0.25">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row>
    <row r="13" spans="1:31" x14ac:dyDescent="0.25">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row>
    <row r="14" spans="1:31" x14ac:dyDescent="0.25">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row>
    <row r="15" spans="1:31" x14ac:dyDescent="0.25">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row>
    <row r="16" spans="1:31" x14ac:dyDescent="0.25">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row>
    <row r="17" spans="1:31" x14ac:dyDescent="0.25">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row>
    <row r="18" spans="1:31" x14ac:dyDescent="0.25">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row>
    <row r="19" spans="1:31" x14ac:dyDescent="0.25">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row>
    <row r="20" spans="1:31" x14ac:dyDescent="0.25">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row>
    <row r="21" spans="1:31" x14ac:dyDescent="0.25">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row>
    <row r="22" spans="1:31" x14ac:dyDescent="0.25">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row>
    <row r="23" spans="1:31"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row>
    <row r="24" spans="1:31" x14ac:dyDescent="0.25">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row>
    <row r="25" spans="1:31" x14ac:dyDescent="0.25">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row>
    <row r="26" spans="1:31" x14ac:dyDescent="0.25">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row>
    <row r="27" spans="1:31" x14ac:dyDescent="0.25">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row>
    <row r="28" spans="1:31" x14ac:dyDescent="0.25">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row>
    <row r="29" spans="1:31" x14ac:dyDescent="0.25">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row>
    <row r="30" spans="1:31" x14ac:dyDescent="0.25">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row>
    <row r="31" spans="1:31" x14ac:dyDescent="0.25">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row>
    <row r="32" spans="1:31" x14ac:dyDescent="0.25">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row>
    <row r="33" spans="1:31" x14ac:dyDescent="0.25">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row>
    <row r="34" spans="1:31" x14ac:dyDescent="0.25">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row>
    <row r="35" spans="1:31" x14ac:dyDescent="0.2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row>
    <row r="36" spans="1:31" x14ac:dyDescent="0.25">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row>
    <row r="37" spans="1:31" x14ac:dyDescent="0.25">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row>
    <row r="38" spans="1:31" x14ac:dyDescent="0.25">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row>
    <row r="39" spans="1:31" x14ac:dyDescent="0.25">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row>
    <row r="40" spans="1:31" x14ac:dyDescent="0.25">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row>
    <row r="41" spans="1:31" x14ac:dyDescent="0.25">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row>
    <row r="42" spans="1:31" x14ac:dyDescent="0.25">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row>
    <row r="43" spans="1:31" x14ac:dyDescent="0.25">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row>
    <row r="44" spans="1:31" x14ac:dyDescent="0.25">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row>
    <row r="45" spans="1:31" x14ac:dyDescent="0.2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row>
    <row r="46" spans="1:31" x14ac:dyDescent="0.25">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row>
    <row r="47" spans="1:31" x14ac:dyDescent="0.25">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row>
    <row r="48" spans="1:31" x14ac:dyDescent="0.25">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row>
    <row r="49" spans="1:31" x14ac:dyDescent="0.25">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row>
    <row r="50" spans="1:31" x14ac:dyDescent="0.25">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row>
    <row r="51" spans="1:31" x14ac:dyDescent="0.25">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row>
    <row r="52" spans="1:31" x14ac:dyDescent="0.25">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row>
    <row r="53" spans="1:31" x14ac:dyDescent="0.25">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row>
    <row r="54" spans="1:31" x14ac:dyDescent="0.25">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row>
    <row r="55" spans="1:31" x14ac:dyDescent="0.2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row>
    <row r="56" spans="1:31"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row>
    <row r="57" spans="1:31" x14ac:dyDescent="0.25">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row>
    <row r="58" spans="1:31" x14ac:dyDescent="0.25">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row>
    <row r="59" spans="1:31" x14ac:dyDescent="0.25">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row>
    <row r="60" spans="1:31" x14ac:dyDescent="0.25">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row>
    <row r="61" spans="1:31" x14ac:dyDescent="0.25">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row>
    <row r="62" spans="1:31" x14ac:dyDescent="0.25">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row>
    <row r="63" spans="1:31" x14ac:dyDescent="0.25">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row>
    <row r="64" spans="1:31" x14ac:dyDescent="0.25">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row>
    <row r="65" spans="1:31" x14ac:dyDescent="0.2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row>
    <row r="66" spans="1:31" x14ac:dyDescent="0.25">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row>
    <row r="67" spans="1:31" x14ac:dyDescent="0.25">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row>
    <row r="68" spans="1:31" x14ac:dyDescent="0.25">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row>
    <row r="69" spans="1:31" x14ac:dyDescent="0.25">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row>
    <row r="70" spans="1:31" x14ac:dyDescent="0.25">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row>
    <row r="71" spans="1:31" x14ac:dyDescent="0.25">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row>
    <row r="72" spans="1:31" x14ac:dyDescent="0.25">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row>
    <row r="73" spans="1:31" x14ac:dyDescent="0.25">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row>
    <row r="74" spans="1:31" x14ac:dyDescent="0.25">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row>
    <row r="75" spans="1:31" x14ac:dyDescent="0.2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row>
    <row r="76" spans="1:31" x14ac:dyDescent="0.25">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row>
    <row r="77" spans="1:31" x14ac:dyDescent="0.25">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row>
    <row r="78" spans="1:31"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row>
    <row r="79" spans="1:31" x14ac:dyDescent="0.25">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row>
    <row r="80" spans="1:31"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row>
    <row r="81" spans="1:31" x14ac:dyDescent="0.25">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row>
    <row r="82" spans="1:31"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row>
    <row r="83" spans="1:31" x14ac:dyDescent="0.25">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row>
    <row r="84" spans="1:31" x14ac:dyDescent="0.25">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row>
    <row r="85" spans="1:31" x14ac:dyDescent="0.2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row>
    <row r="86" spans="1:31" x14ac:dyDescent="0.25">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row>
    <row r="87" spans="1:31" x14ac:dyDescent="0.25">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row>
    <row r="88" spans="1:31"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row>
    <row r="89" spans="1:31"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row>
    <row r="90" spans="1:31" x14ac:dyDescent="0.25">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row>
    <row r="91" spans="1:31"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row>
    <row r="92" spans="1:31" x14ac:dyDescent="0.25">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row>
    <row r="93" spans="1:31" x14ac:dyDescent="0.25">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row>
    <row r="94" spans="1:31" x14ac:dyDescent="0.25">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row>
    <row r="95" spans="1:31" x14ac:dyDescent="0.2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row>
    <row r="96" spans="1:31" x14ac:dyDescent="0.25">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row>
    <row r="97" spans="1:31" x14ac:dyDescent="0.25">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row>
    <row r="98" spans="1:31" x14ac:dyDescent="0.25">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row>
    <row r="99" spans="1:31" x14ac:dyDescent="0.25">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row>
    <row r="100" spans="1:31" x14ac:dyDescent="0.25">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row>
    <row r="101" spans="1:31" x14ac:dyDescent="0.25">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row>
    <row r="102" spans="1:31" x14ac:dyDescent="0.25">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row>
    <row r="103" spans="1:31" x14ac:dyDescent="0.25">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row>
    <row r="104" spans="1:31" x14ac:dyDescent="0.25">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row>
    <row r="105" spans="1:31" x14ac:dyDescent="0.2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row>
    <row r="106" spans="1:31" x14ac:dyDescent="0.25">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row>
    <row r="107" spans="1:31" x14ac:dyDescent="0.25">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row>
    <row r="108" spans="1:31" x14ac:dyDescent="0.25">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row>
    <row r="109" spans="1:31" x14ac:dyDescent="0.25">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row>
    <row r="110" spans="1:31" x14ac:dyDescent="0.25">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row>
    <row r="111" spans="1:31" x14ac:dyDescent="0.25">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row>
    <row r="112" spans="1:31" x14ac:dyDescent="0.25">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row>
    <row r="113" spans="1:31" x14ac:dyDescent="0.25">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row>
    <row r="114" spans="1:31" x14ac:dyDescent="0.25">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row>
    <row r="115" spans="1:31" x14ac:dyDescent="0.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row>
    <row r="116" spans="1:31" x14ac:dyDescent="0.25">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row>
    <row r="117" spans="1:31" x14ac:dyDescent="0.25">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row>
    <row r="118" spans="1:31" x14ac:dyDescent="0.25">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row>
    <row r="119" spans="1:31" x14ac:dyDescent="0.25">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row>
    <row r="120" spans="1:31" x14ac:dyDescent="0.25">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row>
    <row r="121" spans="1:31" x14ac:dyDescent="0.25">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row>
    <row r="122" spans="1:31" x14ac:dyDescent="0.25">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row>
    <row r="123" spans="1:31" x14ac:dyDescent="0.25">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row>
    <row r="124" spans="1:31" x14ac:dyDescent="0.25">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row>
    <row r="125" spans="1:31" x14ac:dyDescent="0.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row>
    <row r="126" spans="1:31" x14ac:dyDescent="0.25">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row>
    <row r="127" spans="1:31" x14ac:dyDescent="0.25">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row>
    <row r="128" spans="1:31" x14ac:dyDescent="0.25">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row>
    <row r="129" spans="1:31" x14ac:dyDescent="0.25">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row>
    <row r="130" spans="1:31" x14ac:dyDescent="0.25">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row>
    <row r="131" spans="1:31" x14ac:dyDescent="0.25">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row>
    <row r="132" spans="1:31" x14ac:dyDescent="0.25">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row>
    <row r="133" spans="1:31" x14ac:dyDescent="0.25">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row>
  </sheetData>
  <sheetProtection algorithmName="SHA-512" hashValue="bxx/gs5oengle8RK+e/IIvjHRJzh5aSyiXGCE9gTbOm8c7d6eOUxalQv7EYPcGiJcYDGqh/LcYccosgemmFgbw==" saltValue="Q7dYzeHW558bB6MezaXUfQ==" spinCount="100000" sheet="1" objects="1" scenarios="1"/>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9772E-BE93-43A7-8100-2EFFF3C756B1}">
  <sheetPr codeName="Sheet4"/>
  <dimension ref="A1:BP538"/>
  <sheetViews>
    <sheetView zoomScale="120" zoomScaleNormal="120" workbookViewId="0">
      <selection activeCell="F63" sqref="F63"/>
    </sheetView>
  </sheetViews>
  <sheetFormatPr defaultColWidth="9.140625" defaultRowHeight="15.75" x14ac:dyDescent="0.25"/>
  <cols>
    <col min="1" max="1" width="36.5703125" style="2" customWidth="1"/>
    <col min="2" max="2" width="20.28515625" style="2" customWidth="1"/>
    <col min="3" max="3" width="26.140625" style="2" customWidth="1"/>
    <col min="4" max="4" width="10.140625" style="2" customWidth="1"/>
    <col min="5" max="5" width="59" style="2" customWidth="1"/>
    <col min="6" max="6" width="30.42578125" style="2" customWidth="1"/>
    <col min="7" max="7" width="58.140625" style="39" customWidth="1"/>
    <col min="8" max="8" width="29.7109375" style="39" customWidth="1"/>
    <col min="9" max="9" width="42.7109375" style="44" customWidth="1"/>
    <col min="10" max="10" width="28.85546875" style="41" customWidth="1"/>
    <col min="11" max="11" width="10.28515625" style="39" customWidth="1"/>
    <col min="12" max="12" width="3.140625" style="6" customWidth="1"/>
    <col min="13" max="13" width="64" style="2" customWidth="1"/>
    <col min="14" max="14" width="30.28515625" style="2" customWidth="1"/>
    <col min="15" max="15" width="48.28515625" style="2" customWidth="1"/>
    <col min="16" max="16" width="10.42578125" style="3" bestFit="1" customWidth="1"/>
    <col min="17" max="17" width="7.7109375" style="3" bestFit="1" customWidth="1"/>
    <col min="18" max="18" width="12.28515625" style="2" customWidth="1"/>
    <col min="19" max="19" width="3.140625" style="7" customWidth="1"/>
    <col min="20" max="20" width="10.7109375" style="19" bestFit="1" customWidth="1"/>
    <col min="21" max="21" width="9.140625" style="19"/>
    <col min="22" max="22" width="3.140625" style="6" customWidth="1"/>
    <col min="23" max="23" width="35" style="19" customWidth="1"/>
    <col min="24" max="24" width="3.140625" style="6" customWidth="1"/>
    <col min="25" max="25" width="57.28515625" style="2" customWidth="1"/>
    <col min="26" max="40" width="28.85546875" style="2" customWidth="1"/>
    <col min="41" max="60" width="28.140625" style="2" customWidth="1"/>
    <col min="61" max="61" width="3.140625" style="6" customWidth="1"/>
    <col min="62" max="62" width="11" style="6" customWidth="1"/>
    <col min="63" max="16384" width="9.140625" style="2"/>
  </cols>
  <sheetData>
    <row r="1" spans="1:67" s="4" customFormat="1" ht="31.5" x14ac:dyDescent="0.25">
      <c r="A1" s="62" t="s">
        <v>723</v>
      </c>
      <c r="B1" s="62" t="s">
        <v>724</v>
      </c>
      <c r="C1" s="62" t="s">
        <v>725</v>
      </c>
      <c r="D1" s="62" t="s">
        <v>726</v>
      </c>
      <c r="E1" s="184" t="s">
        <v>40</v>
      </c>
      <c r="F1" s="184" t="s">
        <v>727</v>
      </c>
      <c r="G1" s="62" t="s">
        <v>40</v>
      </c>
      <c r="H1" s="62" t="s">
        <v>191</v>
      </c>
      <c r="I1" s="63" t="s">
        <v>728</v>
      </c>
      <c r="J1" s="64" t="s">
        <v>729</v>
      </c>
      <c r="K1" s="62" t="s">
        <v>730</v>
      </c>
      <c r="L1" s="5"/>
      <c r="M1" s="62" t="s">
        <v>40</v>
      </c>
      <c r="N1" s="62" t="s">
        <v>731</v>
      </c>
      <c r="O1" s="62" t="s">
        <v>728</v>
      </c>
      <c r="P1" s="66" t="s">
        <v>732</v>
      </c>
      <c r="Q1" s="66" t="s">
        <v>733</v>
      </c>
      <c r="R1" s="62" t="s">
        <v>734</v>
      </c>
      <c r="S1" s="5"/>
      <c r="T1" s="65" t="s">
        <v>735</v>
      </c>
      <c r="U1" s="65" t="s">
        <v>168</v>
      </c>
      <c r="V1" s="5"/>
      <c r="W1" s="65" t="s">
        <v>736</v>
      </c>
      <c r="X1" s="5"/>
      <c r="Y1" s="62" t="s">
        <v>737</v>
      </c>
      <c r="Z1" s="62" t="s">
        <v>738</v>
      </c>
      <c r="AA1" s="62" t="s">
        <v>739</v>
      </c>
      <c r="AB1" s="62" t="s">
        <v>740</v>
      </c>
      <c r="AC1" s="62" t="s">
        <v>741</v>
      </c>
      <c r="AD1" s="62" t="s">
        <v>742</v>
      </c>
      <c r="AE1" s="62" t="s">
        <v>743</v>
      </c>
      <c r="AF1" s="62" t="s">
        <v>744</v>
      </c>
      <c r="AG1" s="62" t="s">
        <v>745</v>
      </c>
      <c r="AH1" s="62" t="s">
        <v>746</v>
      </c>
      <c r="AI1" s="62" t="s">
        <v>747</v>
      </c>
      <c r="AJ1" s="62" t="s">
        <v>748</v>
      </c>
      <c r="AK1" s="62" t="s">
        <v>749</v>
      </c>
      <c r="AL1" s="62" t="s">
        <v>750</v>
      </c>
      <c r="AM1" s="62" t="s">
        <v>751</v>
      </c>
      <c r="AN1" s="62" t="s">
        <v>752</v>
      </c>
      <c r="AO1" s="62" t="s">
        <v>753</v>
      </c>
      <c r="AP1" s="62" t="s">
        <v>754</v>
      </c>
      <c r="AQ1" s="62" t="s">
        <v>755</v>
      </c>
      <c r="AR1" s="62" t="s">
        <v>756</v>
      </c>
      <c r="AS1" s="62" t="s">
        <v>757</v>
      </c>
      <c r="AT1" s="62" t="s">
        <v>758</v>
      </c>
      <c r="AU1" s="62" t="s">
        <v>759</v>
      </c>
      <c r="AV1" s="62" t="s">
        <v>760</v>
      </c>
      <c r="AW1" s="62" t="s">
        <v>761</v>
      </c>
      <c r="AX1" s="62" t="s">
        <v>762</v>
      </c>
      <c r="AY1" s="62" t="s">
        <v>763</v>
      </c>
      <c r="AZ1" s="62" t="s">
        <v>764</v>
      </c>
      <c r="BA1" s="62" t="s">
        <v>765</v>
      </c>
      <c r="BB1" s="62" t="s">
        <v>766</v>
      </c>
      <c r="BC1" s="62" t="s">
        <v>767</v>
      </c>
      <c r="BD1" s="62" t="s">
        <v>768</v>
      </c>
      <c r="BE1" s="62" t="s">
        <v>769</v>
      </c>
      <c r="BF1" s="62" t="s">
        <v>770</v>
      </c>
      <c r="BG1" s="62" t="s">
        <v>771</v>
      </c>
      <c r="BH1" s="62" t="s">
        <v>772</v>
      </c>
      <c r="BI1" s="26"/>
      <c r="BJ1" s="4" t="s">
        <v>118</v>
      </c>
      <c r="BK1" s="4" t="s">
        <v>773</v>
      </c>
    </row>
    <row r="2" spans="1:67" x14ac:dyDescent="0.25">
      <c r="A2" s="22" t="s">
        <v>22</v>
      </c>
      <c r="B2" s="19" t="s">
        <v>774</v>
      </c>
      <c r="C2" s="19" t="s">
        <v>775</v>
      </c>
      <c r="D2" s="19" t="s">
        <v>34</v>
      </c>
      <c r="E2" s="19" t="s">
        <v>194</v>
      </c>
      <c r="F2" s="19" t="s">
        <v>216</v>
      </c>
      <c r="G2" s="42" t="s">
        <v>94</v>
      </c>
      <c r="H2" s="42" t="s">
        <v>216</v>
      </c>
      <c r="I2" s="46" t="str">
        <f t="shared" ref="I2:I18" si="0">_xlfn.CONCAT(G2,H2)</f>
        <v>EPM_Practice_USAApplication Developer</v>
      </c>
      <c r="J2" s="43" t="s">
        <v>96</v>
      </c>
      <c r="K2" s="42" t="s">
        <v>776</v>
      </c>
      <c r="M2" s="4"/>
      <c r="N2" s="4"/>
      <c r="O2" s="4"/>
      <c r="P2" s="361"/>
      <c r="Q2" s="361"/>
      <c r="R2" s="4"/>
      <c r="S2" s="17"/>
      <c r="T2" s="45">
        <v>45688</v>
      </c>
      <c r="U2" s="19">
        <v>176</v>
      </c>
      <c r="W2" s="19" t="str" cm="1">
        <f t="array" ref="W2:W263">_xlfn.UNIQUE(I2:I521)</f>
        <v>EPM_Practice_USAApplication Developer</v>
      </c>
      <c r="Y2" s="2" t="str">
        <f>_xlfn.CONCAT('Pricing Details'!$A9,'Pricing Details'!$B9)</f>
        <v>EPM_Practice_USASr. Change Manager</v>
      </c>
      <c r="Z2" s="2" t="str" cm="1">
        <f t="array" ref="Z2:Z3">_xlfn._xlws.SORT(_xlfn._xlws.FILTER($J$2:$J$542,$I$2:$I$542=$Y2),1)</f>
        <v>Melissa O'Blenis</v>
      </c>
      <c r="AA2" s="2" cm="1">
        <f t="array" ref="AA2:AA9">_xlfn._xlws.SORT(_xlfn._xlws.FILTER($J$2:$J$542,$I$2:$I$542=$Y3),1)</f>
        <v>0</v>
      </c>
      <c r="AB2" s="2" cm="1">
        <f t="array" ref="AB2:AB9">_xlfn._xlws.SORT(_xlfn._xlws.FILTER($J$2:$J$542,$I$2:$I$542=$Y4),1)</f>
        <v>0</v>
      </c>
      <c r="AC2" s="2" cm="1">
        <f t="array" ref="AC2:AC9">_xlfn._xlws.SORT(_xlfn._xlws.FILTER($J$2:$J$542,$I$2:$I$542=$Y5),1)</f>
        <v>0</v>
      </c>
      <c r="AD2" s="2" cm="1">
        <f t="array" ref="AD2:AD9">_xlfn._xlws.SORT(_xlfn._xlws.FILTER($J$2:$J$542,$I$2:$I$542=$Y6),1)</f>
        <v>0</v>
      </c>
      <c r="AE2" s="2" cm="1">
        <f t="array" ref="AE2:AE9">_xlfn._xlws.SORT(_xlfn._xlws.FILTER($J$2:$J$542,$I$2:$I$542=$Y7),1)</f>
        <v>0</v>
      </c>
      <c r="AF2" s="2" cm="1">
        <f t="array" ref="AF2:AF9">_xlfn._xlws.SORT(_xlfn._xlws.FILTER($J$2:$J$542,$I$2:$I$542=$Y8),1)</f>
        <v>0</v>
      </c>
      <c r="AG2" s="2" cm="1">
        <f t="array" ref="AG2:AG9">_xlfn._xlws.SORT(_xlfn._xlws.FILTER($J$2:$J$542,$I$2:$I$542=$Y9),1)</f>
        <v>0</v>
      </c>
      <c r="AH2" s="2" cm="1">
        <f t="array" ref="AH2:AH9">_xlfn._xlws.SORT(_xlfn._xlws.FILTER($J$2:$J$542,$I$2:$I$542=$Y10),1)</f>
        <v>0</v>
      </c>
      <c r="AI2" s="2" cm="1">
        <f t="array" ref="AI2:AI9">_xlfn._xlws.SORT(_xlfn._xlws.FILTER($J$2:$J$542,$I$2:$I$542=$Y11),1)</f>
        <v>0</v>
      </c>
      <c r="AJ2" s="2" cm="1">
        <f t="array" ref="AJ2:AJ9">_xlfn._xlws.SORT(_xlfn._xlws.FILTER($J$2:$J$542,$I$2:$I$542=$Y12),1)</f>
        <v>0</v>
      </c>
      <c r="AK2" s="2" cm="1">
        <f t="array" ref="AK2:AK9">_xlfn._xlws.SORT(_xlfn._xlws.FILTER($J$2:$J$542,$I$2:$I$542=$Y13),1)</f>
        <v>0</v>
      </c>
      <c r="AL2" s="2" cm="1">
        <f t="array" ref="AL2:AL9">_xlfn._xlws.SORT(_xlfn._xlws.FILTER($J$2:$J$542,$I$2:$I$542=$Y14),1)</f>
        <v>0</v>
      </c>
      <c r="AM2" s="2" cm="1">
        <f t="array" ref="AM2:AM9">_xlfn._xlws.SORT(_xlfn._xlws.FILTER($J$2:$J$542,$I$2:$I$542=$Y15),1)</f>
        <v>0</v>
      </c>
      <c r="AN2" s="2" cm="1">
        <f t="array" ref="AN2:AN9">_xlfn._xlws.SORT(_xlfn._xlws.FILTER($J$2:$J$542,$I$2:$I$542=$Y16),1)</f>
        <v>0</v>
      </c>
      <c r="AO2" s="2" cm="1">
        <f t="array" ref="AO2:AO9">_xlfn._xlws.SORT(_xlfn._xlws.FILTER($J$2:$J$542,$I$2:$I$542=$Y17),1)</f>
        <v>0</v>
      </c>
      <c r="AP2" s="2" cm="1">
        <f t="array" ref="AP2:AP9">_xlfn._xlws.SORT(_xlfn._xlws.FILTER($J$2:$J$542,$I$2:$I$542=$Y18),1)</f>
        <v>0</v>
      </c>
      <c r="AQ2" s="2" cm="1">
        <f t="array" ref="AQ2:AQ9">_xlfn._xlws.SORT(_xlfn._xlws.FILTER($J$2:$J$542,$I$2:$I$542=$Y19),1)</f>
        <v>0</v>
      </c>
      <c r="AR2" s="2" cm="1">
        <f t="array" ref="AR2:AR9">_xlfn._xlws.SORT(_xlfn._xlws.FILTER($J$2:$J$542,$I$2:$I$542=$Y20),1)</f>
        <v>0</v>
      </c>
      <c r="AS2" s="2" cm="1">
        <f t="array" ref="AS2:AS9">_xlfn._xlws.SORT(_xlfn._xlws.FILTER($J$2:$J$542,$I$2:$I$542=$Y21),1)</f>
        <v>0</v>
      </c>
      <c r="AT2" s="2" cm="1">
        <f t="array" ref="AT2:AT9">_xlfn._xlws.SORT(_xlfn._xlws.FILTER($J$2:$J$542,$I$2:$I$542=$Y22),1)</f>
        <v>0</v>
      </c>
      <c r="AU2" s="2" cm="1">
        <f t="array" ref="AU2:AU9">_xlfn._xlws.SORT(_xlfn._xlws.FILTER($J$2:$J$542,$I$2:$I$542=$Y23),1)</f>
        <v>0</v>
      </c>
      <c r="AV2" s="2" cm="1">
        <f t="array" ref="AV2:AV9">_xlfn._xlws.SORT(_xlfn._xlws.FILTER($J$2:$J$542,$I$2:$I$542=$Y24),1)</f>
        <v>0</v>
      </c>
      <c r="AW2" s="2" cm="1">
        <f t="array" ref="AW2:AW9">_xlfn._xlws.SORT(_xlfn._xlws.FILTER($J$2:$J$542,$I$2:$I$542=$Y25),1)</f>
        <v>0</v>
      </c>
      <c r="AX2" s="2" cm="1">
        <f t="array" ref="AX2:AX9">_xlfn._xlws.SORT(_xlfn._xlws.FILTER($J$2:$J$542,$I$2:$I$542=$Y26),1)</f>
        <v>0</v>
      </c>
      <c r="AY2" s="2" cm="1">
        <f t="array" ref="AY2:AY9">_xlfn._xlws.SORT(_xlfn._xlws.FILTER($J$2:$J$542,$I$2:$I$542=$Y27),1)</f>
        <v>0</v>
      </c>
      <c r="AZ2" s="2" cm="1">
        <f t="array" ref="AZ2:AZ9">_xlfn._xlws.SORT(_xlfn._xlws.FILTER($J$2:$J$542,$I$2:$I$542=$Y28),1)</f>
        <v>0</v>
      </c>
      <c r="BA2" s="2" cm="1">
        <f t="array" ref="BA2:BA9">_xlfn._xlws.SORT(_xlfn._xlws.FILTER($J$2:$J$542,$I$2:$I$542=$Y29),1)</f>
        <v>0</v>
      </c>
      <c r="BB2" s="2" cm="1">
        <f t="array" ref="BB2:BB9">_xlfn._xlws.SORT(_xlfn._xlws.FILTER($J$2:$J$542,$I$2:$I$542=$Y30),1)</f>
        <v>0</v>
      </c>
      <c r="BC2" s="2" cm="1">
        <f t="array" ref="BC2:BC9">_xlfn._xlws.SORT(_xlfn._xlws.FILTER($J$2:$J$542,$I$2:$I$542=$Y31),1)</f>
        <v>0</v>
      </c>
      <c r="BD2" s="2" cm="1">
        <f t="array" ref="BD2:BD9">_xlfn._xlws.SORT(_xlfn._xlws.FILTER($J$2:$J$542,$I$2:$I$542=$Y32),1)</f>
        <v>0</v>
      </c>
      <c r="BE2" s="2" cm="1">
        <f t="array" ref="BE2:BE9">_xlfn._xlws.SORT(_xlfn._xlws.FILTER($J$2:$J$542,$I$2:$I$542=$Y33),1)</f>
        <v>0</v>
      </c>
      <c r="BF2" s="2" cm="1">
        <f t="array" ref="BF2:BF9">_xlfn._xlws.SORT(_xlfn._xlws.FILTER($J$2:$J$542,$I$2:$I$542=$Y34),1)</f>
        <v>0</v>
      </c>
      <c r="BG2" s="2" cm="1">
        <f t="array" ref="BG2:BG9">_xlfn._xlws.SORT(_xlfn._xlws.FILTER($J$2:$J$542,$I$2:$I$542=$Y35),1)</f>
        <v>0</v>
      </c>
      <c r="BH2" s="2" cm="1">
        <f t="array" ref="BH2:BH9">_xlfn._xlws.SORT(_xlfn._xlws.FILTER($J$2:$J$542,$I$2:$I$542=$Y36),1)</f>
        <v>0</v>
      </c>
      <c r="BI2" s="27"/>
      <c r="BJ2" s="39" t="s">
        <v>32</v>
      </c>
      <c r="BK2" s="39" t="s">
        <v>777</v>
      </c>
    </row>
    <row r="3" spans="1:67" x14ac:dyDescent="0.25">
      <c r="A3" s="19" t="s">
        <v>778</v>
      </c>
      <c r="B3" s="19" t="s">
        <v>779</v>
      </c>
      <c r="C3" s="19" t="s">
        <v>780</v>
      </c>
      <c r="D3" s="19" t="s">
        <v>781</v>
      </c>
      <c r="E3" s="19" t="s">
        <v>215</v>
      </c>
      <c r="F3" s="19" t="s">
        <v>261</v>
      </c>
      <c r="G3" s="42" t="s">
        <v>94</v>
      </c>
      <c r="H3" s="42" t="s">
        <v>200</v>
      </c>
      <c r="I3" s="46" t="str">
        <f t="shared" si="0"/>
        <v>EPM_Practice_USAProject Manager</v>
      </c>
      <c r="J3" s="43" t="s">
        <v>96</v>
      </c>
      <c r="K3" s="42" t="s">
        <v>776</v>
      </c>
      <c r="M3" s="19" t="s">
        <v>94</v>
      </c>
      <c r="N3" t="s">
        <v>216</v>
      </c>
      <c r="O3" s="19" t="str">
        <f t="shared" ref="O3:O9" si="1">_xlfn.CONCAT(M3,N3)</f>
        <v>EPM_Practice_USAApplication Developer</v>
      </c>
      <c r="P3" s="20">
        <v>215</v>
      </c>
      <c r="Q3" s="20">
        <v>125</v>
      </c>
      <c r="R3" s="19" t="s">
        <v>776</v>
      </c>
      <c r="S3" s="17"/>
      <c r="T3" s="45">
        <v>45716</v>
      </c>
      <c r="U3" s="19">
        <v>152</v>
      </c>
      <c r="W3" s="19" t="str">
        <v>EPM_Practice_USAProject Manager</v>
      </c>
      <c r="Y3" s="2" t="str">
        <f>_xlfn.CONCAT('Pricing Details'!$A10,'Pricing Details'!$B10)</f>
        <v/>
      </c>
      <c r="Z3" s="2" t="str">
        <v>TBD</v>
      </c>
      <c r="AA3" s="2">
        <v>0</v>
      </c>
      <c r="AB3" s="2">
        <v>0</v>
      </c>
      <c r="AC3" s="2">
        <v>0</v>
      </c>
      <c r="AD3" s="2">
        <v>0</v>
      </c>
      <c r="AE3" s="2">
        <v>0</v>
      </c>
      <c r="AF3" s="2">
        <v>0</v>
      </c>
      <c r="AG3" s="2">
        <v>0</v>
      </c>
      <c r="AH3" s="2">
        <v>0</v>
      </c>
      <c r="AI3" s="2">
        <v>0</v>
      </c>
      <c r="AJ3" s="2">
        <v>0</v>
      </c>
      <c r="AK3" s="2">
        <v>0</v>
      </c>
      <c r="AL3" s="2">
        <v>0</v>
      </c>
      <c r="AM3" s="2">
        <v>0</v>
      </c>
      <c r="AN3" s="2">
        <v>0</v>
      </c>
      <c r="AO3" s="2">
        <v>0</v>
      </c>
      <c r="AP3" s="2">
        <v>0</v>
      </c>
      <c r="AQ3" s="2">
        <v>0</v>
      </c>
      <c r="AR3" s="2">
        <v>0</v>
      </c>
      <c r="AS3" s="2">
        <v>0</v>
      </c>
      <c r="AT3" s="2">
        <v>0</v>
      </c>
      <c r="AU3" s="2">
        <v>0</v>
      </c>
      <c r="AV3" s="2">
        <v>0</v>
      </c>
      <c r="AW3" s="2">
        <v>0</v>
      </c>
      <c r="AX3" s="2">
        <v>0</v>
      </c>
      <c r="AY3" s="2">
        <v>0</v>
      </c>
      <c r="AZ3" s="2">
        <v>0</v>
      </c>
      <c r="BA3" s="2">
        <v>0</v>
      </c>
      <c r="BB3" s="2">
        <v>0</v>
      </c>
      <c r="BC3" s="2">
        <v>0</v>
      </c>
      <c r="BD3" s="2">
        <v>0</v>
      </c>
      <c r="BE3" s="2">
        <v>0</v>
      </c>
      <c r="BF3" s="2">
        <v>0</v>
      </c>
      <c r="BG3" s="2">
        <v>0</v>
      </c>
      <c r="BH3" s="2">
        <v>0</v>
      </c>
      <c r="BJ3" s="39" t="s">
        <v>119</v>
      </c>
      <c r="BK3" s="39" t="s">
        <v>28</v>
      </c>
    </row>
    <row r="4" spans="1:67" x14ac:dyDescent="0.25">
      <c r="A4" s="19" t="s">
        <v>782</v>
      </c>
      <c r="B4" s="19" t="s">
        <v>783</v>
      </c>
      <c r="C4" s="19" t="s">
        <v>784</v>
      </c>
      <c r="D4" s="19" t="s">
        <v>149</v>
      </c>
      <c r="E4" s="19" t="s">
        <v>403</v>
      </c>
      <c r="F4" s="19" t="s">
        <v>234</v>
      </c>
      <c r="G4" s="42" t="s">
        <v>94</v>
      </c>
      <c r="H4" s="42" t="s">
        <v>272</v>
      </c>
      <c r="I4" s="46" t="str">
        <f t="shared" si="0"/>
        <v>EPM_Practice_USASr. Application Developer</v>
      </c>
      <c r="J4" s="43" t="s">
        <v>96</v>
      </c>
      <c r="K4" s="42" t="s">
        <v>776</v>
      </c>
      <c r="M4" s="19" t="s">
        <v>94</v>
      </c>
      <c r="N4" t="s">
        <v>200</v>
      </c>
      <c r="O4" s="19" t="str">
        <f t="shared" si="1"/>
        <v>EPM_Practice_USAProject Manager</v>
      </c>
      <c r="P4" s="20">
        <v>230</v>
      </c>
      <c r="Q4" s="20">
        <v>130</v>
      </c>
      <c r="R4" s="19" t="s">
        <v>776</v>
      </c>
      <c r="S4" s="17"/>
      <c r="T4" s="45">
        <v>45747</v>
      </c>
      <c r="U4" s="19">
        <v>168</v>
      </c>
      <c r="W4" s="19" t="str">
        <v>EPM_Practice_USASr. Application Developer</v>
      </c>
      <c r="Y4" s="2" t="str">
        <f>_xlfn.CONCAT('Pricing Details'!$A11,'Pricing Details'!$B11)</f>
        <v/>
      </c>
      <c r="AA4" s="2">
        <v>0</v>
      </c>
      <c r="AB4" s="2">
        <v>0</v>
      </c>
      <c r="AC4" s="2">
        <v>0</v>
      </c>
      <c r="AD4" s="2">
        <v>0</v>
      </c>
      <c r="AE4" s="2">
        <v>0</v>
      </c>
      <c r="AF4" s="2">
        <v>0</v>
      </c>
      <c r="AG4" s="2">
        <v>0</v>
      </c>
      <c r="AH4" s="2">
        <v>0</v>
      </c>
      <c r="AI4" s="2">
        <v>0</v>
      </c>
      <c r="AJ4" s="2">
        <v>0</v>
      </c>
      <c r="AK4" s="2">
        <v>0</v>
      </c>
      <c r="AL4" s="2">
        <v>0</v>
      </c>
      <c r="AM4" s="2">
        <v>0</v>
      </c>
      <c r="AN4" s="2">
        <v>0</v>
      </c>
      <c r="AO4" s="2">
        <v>0</v>
      </c>
      <c r="AP4" s="2">
        <v>0</v>
      </c>
      <c r="AQ4" s="2">
        <v>0</v>
      </c>
      <c r="AR4" s="2">
        <v>0</v>
      </c>
      <c r="AS4" s="2">
        <v>0</v>
      </c>
      <c r="AT4" s="2">
        <v>0</v>
      </c>
      <c r="AU4" s="2">
        <v>0</v>
      </c>
      <c r="AV4" s="2">
        <v>0</v>
      </c>
      <c r="AW4" s="2">
        <v>0</v>
      </c>
      <c r="AX4" s="2">
        <v>0</v>
      </c>
      <c r="AY4" s="2">
        <v>0</v>
      </c>
      <c r="AZ4" s="2">
        <v>0</v>
      </c>
      <c r="BA4" s="2">
        <v>0</v>
      </c>
      <c r="BB4" s="2">
        <v>0</v>
      </c>
      <c r="BC4" s="2">
        <v>0</v>
      </c>
      <c r="BD4" s="2">
        <v>0</v>
      </c>
      <c r="BE4" s="2">
        <v>0</v>
      </c>
      <c r="BF4" s="2">
        <v>0</v>
      </c>
      <c r="BG4" s="2">
        <v>0</v>
      </c>
      <c r="BH4" s="2">
        <v>0</v>
      </c>
      <c r="BJ4" s="39" t="s">
        <v>120</v>
      </c>
      <c r="BK4" s="39" t="s">
        <v>785</v>
      </c>
    </row>
    <row r="5" spans="1:67" x14ac:dyDescent="0.25">
      <c r="A5" s="19" t="s">
        <v>786</v>
      </c>
      <c r="B5" s="19" t="s">
        <v>787</v>
      </c>
      <c r="C5" s="19" t="s">
        <v>788</v>
      </c>
      <c r="D5" s="19" t="s">
        <v>789</v>
      </c>
      <c r="E5" s="19" t="s">
        <v>218</v>
      </c>
      <c r="F5" s="19" t="s">
        <v>98</v>
      </c>
      <c r="G5" s="42" t="s">
        <v>94</v>
      </c>
      <c r="H5" s="42" t="s">
        <v>95</v>
      </c>
      <c r="I5" s="46" t="str">
        <f t="shared" si="0"/>
        <v>EPM_Practice_USASr. Project Manager</v>
      </c>
      <c r="J5" s="43" t="s">
        <v>96</v>
      </c>
      <c r="K5" s="42" t="s">
        <v>776</v>
      </c>
      <c r="M5" s="19" t="s">
        <v>94</v>
      </c>
      <c r="N5" t="s">
        <v>272</v>
      </c>
      <c r="O5" s="19" t="str">
        <f t="shared" si="1"/>
        <v>EPM_Practice_USASr. Application Developer</v>
      </c>
      <c r="P5" s="20">
        <v>240</v>
      </c>
      <c r="Q5" s="20">
        <v>135</v>
      </c>
      <c r="R5" s="19" t="s">
        <v>776</v>
      </c>
      <c r="S5" s="17"/>
      <c r="T5" s="45">
        <v>45777</v>
      </c>
      <c r="U5" s="19">
        <v>176</v>
      </c>
      <c r="W5" s="19" t="str">
        <v>EPM_Practice_USASr. Project Manager</v>
      </c>
      <c r="Y5" s="2" t="str">
        <f>_xlfn.CONCAT('Pricing Details'!$A12,'Pricing Details'!$B12)</f>
        <v/>
      </c>
      <c r="AA5" s="2">
        <v>0</v>
      </c>
      <c r="AB5" s="2">
        <v>0</v>
      </c>
      <c r="AC5" s="2">
        <v>0</v>
      </c>
      <c r="AD5" s="2">
        <v>0</v>
      </c>
      <c r="AE5" s="2">
        <v>0</v>
      </c>
      <c r="AF5" s="2">
        <v>0</v>
      </c>
      <c r="AG5" s="2">
        <v>0</v>
      </c>
      <c r="AH5" s="2">
        <v>0</v>
      </c>
      <c r="AI5" s="2">
        <v>0</v>
      </c>
      <c r="AJ5" s="2">
        <v>0</v>
      </c>
      <c r="AK5" s="2">
        <v>0</v>
      </c>
      <c r="AL5" s="2">
        <v>0</v>
      </c>
      <c r="AM5" s="2">
        <v>0</v>
      </c>
      <c r="AN5" s="2">
        <v>0</v>
      </c>
      <c r="AO5" s="2">
        <v>0</v>
      </c>
      <c r="AP5" s="2">
        <v>0</v>
      </c>
      <c r="AQ5" s="2">
        <v>0</v>
      </c>
      <c r="AR5" s="2">
        <v>0</v>
      </c>
      <c r="AS5" s="2">
        <v>0</v>
      </c>
      <c r="AT5" s="2">
        <v>0</v>
      </c>
      <c r="AU5" s="2">
        <v>0</v>
      </c>
      <c r="AV5" s="2">
        <v>0</v>
      </c>
      <c r="AW5" s="2">
        <v>0</v>
      </c>
      <c r="AX5" s="2">
        <v>0</v>
      </c>
      <c r="AY5" s="2">
        <v>0</v>
      </c>
      <c r="AZ5" s="2">
        <v>0</v>
      </c>
      <c r="BA5" s="2">
        <v>0</v>
      </c>
      <c r="BB5" s="2">
        <v>0</v>
      </c>
      <c r="BC5" s="2">
        <v>0</v>
      </c>
      <c r="BD5" s="2">
        <v>0</v>
      </c>
      <c r="BE5" s="2">
        <v>0</v>
      </c>
      <c r="BF5" s="2">
        <v>0</v>
      </c>
      <c r="BG5" s="2">
        <v>0</v>
      </c>
      <c r="BH5" s="2">
        <v>0</v>
      </c>
      <c r="BJ5" s="2"/>
    </row>
    <row r="6" spans="1:67" x14ac:dyDescent="0.25">
      <c r="A6" s="19" t="s">
        <v>790</v>
      </c>
      <c r="B6" s="19" t="s">
        <v>791</v>
      </c>
      <c r="C6" s="19" t="s">
        <v>792</v>
      </c>
      <c r="D6" s="19"/>
      <c r="E6" s="19" t="s">
        <v>240</v>
      </c>
      <c r="F6" s="19" t="s">
        <v>307</v>
      </c>
      <c r="G6" s="42" t="s">
        <v>94</v>
      </c>
      <c r="H6" s="42" t="s">
        <v>793</v>
      </c>
      <c r="I6" s="46" t="str">
        <f t="shared" si="0"/>
        <v>EPM_Practice_USAChange Manager</v>
      </c>
      <c r="J6" s="43" t="s">
        <v>96</v>
      </c>
      <c r="K6" s="42" t="s">
        <v>776</v>
      </c>
      <c r="M6" s="19" t="s">
        <v>94</v>
      </c>
      <c r="N6" t="s">
        <v>95</v>
      </c>
      <c r="O6" s="19" t="str">
        <f t="shared" si="1"/>
        <v>EPM_Practice_USASr. Project Manager</v>
      </c>
      <c r="P6" s="20">
        <v>250</v>
      </c>
      <c r="Q6" s="20">
        <v>140</v>
      </c>
      <c r="R6" s="19" t="s">
        <v>776</v>
      </c>
      <c r="S6" s="17"/>
      <c r="T6" s="45">
        <v>45808</v>
      </c>
      <c r="U6" s="19">
        <v>168</v>
      </c>
      <c r="W6" s="19" t="str">
        <v>EPM_Practice_USAChange Manager</v>
      </c>
      <c r="Y6" s="2" t="str">
        <f>_xlfn.CONCAT('Pricing Details'!$A13,'Pricing Details'!$B13)</f>
        <v/>
      </c>
      <c r="AA6" s="2">
        <v>0</v>
      </c>
      <c r="AB6" s="2">
        <v>0</v>
      </c>
      <c r="AC6" s="2">
        <v>0</v>
      </c>
      <c r="AD6" s="2">
        <v>0</v>
      </c>
      <c r="AE6" s="2">
        <v>0</v>
      </c>
      <c r="AF6" s="2">
        <v>0</v>
      </c>
      <c r="AG6" s="2">
        <v>0</v>
      </c>
      <c r="AH6" s="2">
        <v>0</v>
      </c>
      <c r="AI6" s="2">
        <v>0</v>
      </c>
      <c r="AJ6" s="2">
        <v>0</v>
      </c>
      <c r="AK6" s="2">
        <v>0</v>
      </c>
      <c r="AL6" s="2">
        <v>0</v>
      </c>
      <c r="AM6" s="2">
        <v>0</v>
      </c>
      <c r="AN6" s="2">
        <v>0</v>
      </c>
      <c r="AO6" s="2">
        <v>0</v>
      </c>
      <c r="AP6" s="2">
        <v>0</v>
      </c>
      <c r="AQ6" s="2">
        <v>0</v>
      </c>
      <c r="AR6" s="2">
        <v>0</v>
      </c>
      <c r="AS6" s="2">
        <v>0</v>
      </c>
      <c r="AT6" s="2">
        <v>0</v>
      </c>
      <c r="AU6" s="2">
        <v>0</v>
      </c>
      <c r="AV6" s="2">
        <v>0</v>
      </c>
      <c r="AW6" s="2">
        <v>0</v>
      </c>
      <c r="AX6" s="2">
        <v>0</v>
      </c>
      <c r="AY6" s="2">
        <v>0</v>
      </c>
      <c r="AZ6" s="2">
        <v>0</v>
      </c>
      <c r="BA6" s="2">
        <v>0</v>
      </c>
      <c r="BB6" s="2">
        <v>0</v>
      </c>
      <c r="BC6" s="2">
        <v>0</v>
      </c>
      <c r="BD6" s="2">
        <v>0</v>
      </c>
      <c r="BE6" s="2">
        <v>0</v>
      </c>
      <c r="BF6" s="2">
        <v>0</v>
      </c>
      <c r="BG6" s="2">
        <v>0</v>
      </c>
      <c r="BH6" s="2">
        <v>0</v>
      </c>
      <c r="BJ6" s="2"/>
    </row>
    <row r="7" spans="1:67" x14ac:dyDescent="0.25">
      <c r="A7" s="19" t="s">
        <v>794</v>
      </c>
      <c r="B7" s="19" t="s">
        <v>795</v>
      </c>
      <c r="C7" s="19" t="s">
        <v>796</v>
      </c>
      <c r="D7" s="19"/>
      <c r="E7" s="19" t="s">
        <v>269</v>
      </c>
      <c r="F7" s="19" t="s">
        <v>223</v>
      </c>
      <c r="G7" s="42" t="s">
        <v>94</v>
      </c>
      <c r="H7" s="42" t="s">
        <v>411</v>
      </c>
      <c r="I7" s="46" t="str">
        <f t="shared" si="0"/>
        <v>EPM_Practice_USASr. Change Manager</v>
      </c>
      <c r="J7" s="43" t="s">
        <v>96</v>
      </c>
      <c r="K7" s="42" t="s">
        <v>776</v>
      </c>
      <c r="M7" s="19" t="s">
        <v>94</v>
      </c>
      <c r="N7" t="s">
        <v>793</v>
      </c>
      <c r="O7" s="19" t="str">
        <f t="shared" si="1"/>
        <v>EPM_Practice_USAChange Manager</v>
      </c>
      <c r="P7" s="20">
        <v>265</v>
      </c>
      <c r="Q7" s="20">
        <v>145</v>
      </c>
      <c r="R7" s="19" t="s">
        <v>776</v>
      </c>
      <c r="S7" s="17"/>
      <c r="T7" s="45">
        <v>45838</v>
      </c>
      <c r="U7" s="19">
        <v>168</v>
      </c>
      <c r="W7" s="19" t="str">
        <v>EPM_Practice_USASr. Change Manager</v>
      </c>
      <c r="Y7" s="2" t="str">
        <f>_xlfn.CONCAT('Pricing Details'!$A14,'Pricing Details'!$B14)</f>
        <v/>
      </c>
      <c r="AA7" s="2">
        <v>0</v>
      </c>
      <c r="AB7" s="2">
        <v>0</v>
      </c>
      <c r="AC7" s="2">
        <v>0</v>
      </c>
      <c r="AD7" s="2">
        <v>0</v>
      </c>
      <c r="AE7" s="2">
        <v>0</v>
      </c>
      <c r="AF7" s="2">
        <v>0</v>
      </c>
      <c r="AG7" s="2">
        <v>0</v>
      </c>
      <c r="AH7" s="2">
        <v>0</v>
      </c>
      <c r="AI7" s="2">
        <v>0</v>
      </c>
      <c r="AJ7" s="2">
        <v>0</v>
      </c>
      <c r="AK7" s="2">
        <v>0</v>
      </c>
      <c r="AL7" s="2">
        <v>0</v>
      </c>
      <c r="AM7" s="2">
        <v>0</v>
      </c>
      <c r="AN7" s="2">
        <v>0</v>
      </c>
      <c r="AO7" s="2">
        <v>0</v>
      </c>
      <c r="AP7" s="2">
        <v>0</v>
      </c>
      <c r="AQ7" s="2">
        <v>0</v>
      </c>
      <c r="AR7" s="2">
        <v>0</v>
      </c>
      <c r="AS7" s="2">
        <v>0</v>
      </c>
      <c r="AT7" s="2">
        <v>0</v>
      </c>
      <c r="AU7" s="2">
        <v>0</v>
      </c>
      <c r="AV7" s="2">
        <v>0</v>
      </c>
      <c r="AW7" s="2">
        <v>0</v>
      </c>
      <c r="AX7" s="2">
        <v>0</v>
      </c>
      <c r="AY7" s="2">
        <v>0</v>
      </c>
      <c r="AZ7" s="2">
        <v>0</v>
      </c>
      <c r="BA7" s="2">
        <v>0</v>
      </c>
      <c r="BB7" s="2">
        <v>0</v>
      </c>
      <c r="BC7" s="2">
        <v>0</v>
      </c>
      <c r="BD7" s="2">
        <v>0</v>
      </c>
      <c r="BE7" s="2">
        <v>0</v>
      </c>
      <c r="BF7" s="2">
        <v>0</v>
      </c>
      <c r="BG7" s="2">
        <v>0</v>
      </c>
      <c r="BH7" s="2">
        <v>0</v>
      </c>
      <c r="BJ7" s="2"/>
    </row>
    <row r="8" spans="1:67" x14ac:dyDescent="0.25">
      <c r="A8" s="19" t="s">
        <v>797</v>
      </c>
      <c r="B8" s="19" t="s">
        <v>798</v>
      </c>
      <c r="C8" s="19" t="s">
        <v>799</v>
      </c>
      <c r="D8" s="19"/>
      <c r="E8" s="19" t="s">
        <v>94</v>
      </c>
      <c r="F8" s="19" t="s">
        <v>291</v>
      </c>
      <c r="G8" s="42" t="s">
        <v>94</v>
      </c>
      <c r="H8" s="42" t="s">
        <v>307</v>
      </c>
      <c r="I8" s="46" t="str">
        <f t="shared" si="0"/>
        <v>EPM_Practice_USAApplication Lead</v>
      </c>
      <c r="J8" s="43" t="s">
        <v>96</v>
      </c>
      <c r="K8" s="42" t="s">
        <v>776</v>
      </c>
      <c r="M8" s="19" t="s">
        <v>94</v>
      </c>
      <c r="N8" t="s">
        <v>411</v>
      </c>
      <c r="O8" s="19" t="str">
        <f t="shared" si="1"/>
        <v>EPM_Practice_USASr. Change Manager</v>
      </c>
      <c r="P8" s="20">
        <v>275</v>
      </c>
      <c r="Q8" s="20">
        <v>165</v>
      </c>
      <c r="R8" s="19" t="s">
        <v>776</v>
      </c>
      <c r="S8" s="17"/>
      <c r="T8" s="45">
        <v>45869</v>
      </c>
      <c r="U8" s="19">
        <v>176</v>
      </c>
      <c r="W8" s="19" t="str">
        <v>EPM_Practice_USAApplication Lead</v>
      </c>
      <c r="Y8" s="2" t="str">
        <f>_xlfn.CONCAT('Pricing Details'!$A15,'Pricing Details'!$B15)</f>
        <v/>
      </c>
      <c r="AA8" s="2">
        <v>0</v>
      </c>
      <c r="AB8" s="2">
        <v>0</v>
      </c>
      <c r="AC8" s="2">
        <v>0</v>
      </c>
      <c r="AD8" s="2">
        <v>0</v>
      </c>
      <c r="AE8" s="2">
        <v>0</v>
      </c>
      <c r="AF8" s="2">
        <v>0</v>
      </c>
      <c r="AG8" s="2">
        <v>0</v>
      </c>
      <c r="AH8" s="2">
        <v>0</v>
      </c>
      <c r="AI8" s="2">
        <v>0</v>
      </c>
      <c r="AJ8" s="2">
        <v>0</v>
      </c>
      <c r="AK8" s="2">
        <v>0</v>
      </c>
      <c r="AL8" s="2">
        <v>0</v>
      </c>
      <c r="AM8" s="2">
        <v>0</v>
      </c>
      <c r="AN8" s="2">
        <v>0</v>
      </c>
      <c r="AO8" s="2">
        <v>0</v>
      </c>
      <c r="AP8" s="2">
        <v>0</v>
      </c>
      <c r="AQ8" s="2">
        <v>0</v>
      </c>
      <c r="AR8" s="2">
        <v>0</v>
      </c>
      <c r="AS8" s="2">
        <v>0</v>
      </c>
      <c r="AT8" s="2">
        <v>0</v>
      </c>
      <c r="AU8" s="2">
        <v>0</v>
      </c>
      <c r="AV8" s="2">
        <v>0</v>
      </c>
      <c r="AW8" s="2">
        <v>0</v>
      </c>
      <c r="AX8" s="2">
        <v>0</v>
      </c>
      <c r="AY8" s="2">
        <v>0</v>
      </c>
      <c r="AZ8" s="2">
        <v>0</v>
      </c>
      <c r="BA8" s="2">
        <v>0</v>
      </c>
      <c r="BB8" s="2">
        <v>0</v>
      </c>
      <c r="BC8" s="2">
        <v>0</v>
      </c>
      <c r="BD8" s="2">
        <v>0</v>
      </c>
      <c r="BE8" s="2">
        <v>0</v>
      </c>
      <c r="BF8" s="2">
        <v>0</v>
      </c>
      <c r="BG8" s="2">
        <v>0</v>
      </c>
      <c r="BH8" s="2">
        <v>0</v>
      </c>
      <c r="BJ8" s="2"/>
    </row>
    <row r="9" spans="1:67" x14ac:dyDescent="0.25">
      <c r="A9" s="19" t="s">
        <v>800</v>
      </c>
      <c r="B9" s="19" t="s">
        <v>801</v>
      </c>
      <c r="C9" s="19" t="s">
        <v>802</v>
      </c>
      <c r="D9" s="19"/>
      <c r="E9" s="19" t="s">
        <v>311</v>
      </c>
      <c r="F9" s="19" t="s">
        <v>381</v>
      </c>
      <c r="G9" s="42" t="s">
        <v>94</v>
      </c>
      <c r="H9" s="42" t="s">
        <v>305</v>
      </c>
      <c r="I9" s="46" t="str">
        <f t="shared" si="0"/>
        <v>EPM_Practice_USAFunctional Lead</v>
      </c>
      <c r="J9" s="43" t="s">
        <v>96</v>
      </c>
      <c r="K9" s="42" t="s">
        <v>776</v>
      </c>
      <c r="M9" s="19" t="s">
        <v>94</v>
      </c>
      <c r="N9" t="s">
        <v>307</v>
      </c>
      <c r="O9" s="19" t="str">
        <f t="shared" si="1"/>
        <v>EPM_Practice_USAApplication Lead</v>
      </c>
      <c r="P9" s="20">
        <v>265</v>
      </c>
      <c r="Q9" s="20">
        <v>145</v>
      </c>
      <c r="R9" s="19" t="s">
        <v>776</v>
      </c>
      <c r="S9" s="17"/>
      <c r="T9" s="45">
        <v>45900</v>
      </c>
      <c r="U9" s="19">
        <v>168</v>
      </c>
      <c r="W9" s="19" t="str">
        <v>EPM_Practice_USAFunctional Lead</v>
      </c>
      <c r="Y9" s="2" t="str">
        <f>_xlfn.CONCAT('Pricing Details'!$A16,'Pricing Details'!$B16)</f>
        <v/>
      </c>
      <c r="AA9" s="2">
        <v>0</v>
      </c>
      <c r="AB9" s="2">
        <v>0</v>
      </c>
      <c r="AC9" s="2">
        <v>0</v>
      </c>
      <c r="AD9" s="2">
        <v>0</v>
      </c>
      <c r="AE9" s="2">
        <v>0</v>
      </c>
      <c r="AF9" s="2">
        <v>0</v>
      </c>
      <c r="AG9" s="2">
        <v>0</v>
      </c>
      <c r="AH9" s="2">
        <v>0</v>
      </c>
      <c r="AI9" s="2">
        <v>0</v>
      </c>
      <c r="AJ9" s="2">
        <v>0</v>
      </c>
      <c r="AK9" s="2">
        <v>0</v>
      </c>
      <c r="AL9" s="2">
        <v>0</v>
      </c>
      <c r="AM9" s="2">
        <v>0</v>
      </c>
      <c r="AN9" s="2">
        <v>0</v>
      </c>
      <c r="AO9" s="2">
        <v>0</v>
      </c>
      <c r="AP9" s="2">
        <v>0</v>
      </c>
      <c r="AQ9" s="2">
        <v>0</v>
      </c>
      <c r="AR9" s="2">
        <v>0</v>
      </c>
      <c r="AS9" s="2">
        <v>0</v>
      </c>
      <c r="AT9" s="2">
        <v>0</v>
      </c>
      <c r="AU9" s="2">
        <v>0</v>
      </c>
      <c r="AV9" s="2">
        <v>0</v>
      </c>
      <c r="AW9" s="2">
        <v>0</v>
      </c>
      <c r="AX9" s="2">
        <v>0</v>
      </c>
      <c r="AY9" s="2">
        <v>0</v>
      </c>
      <c r="AZ9" s="2">
        <v>0</v>
      </c>
      <c r="BA9" s="2">
        <v>0</v>
      </c>
      <c r="BB9" s="2">
        <v>0</v>
      </c>
      <c r="BC9" s="2">
        <v>0</v>
      </c>
      <c r="BD9" s="2">
        <v>0</v>
      </c>
      <c r="BE9" s="2">
        <v>0</v>
      </c>
      <c r="BF9" s="2">
        <v>0</v>
      </c>
      <c r="BG9" s="2">
        <v>0</v>
      </c>
      <c r="BH9" s="2">
        <v>0</v>
      </c>
      <c r="BJ9" s="2"/>
    </row>
    <row r="10" spans="1:67" x14ac:dyDescent="0.25">
      <c r="A10" s="19" t="s">
        <v>803</v>
      </c>
      <c r="B10" s="19" t="s">
        <v>804</v>
      </c>
      <c r="C10" s="19" t="s">
        <v>805</v>
      </c>
      <c r="D10" s="19"/>
      <c r="E10" s="19" t="s">
        <v>317</v>
      </c>
      <c r="F10" s="19" t="s">
        <v>337</v>
      </c>
      <c r="G10" s="42" t="s">
        <v>94</v>
      </c>
      <c r="H10" s="42" t="s">
        <v>219</v>
      </c>
      <c r="I10" s="46" t="str">
        <f t="shared" si="0"/>
        <v>EPM_Practice_USASr. Application Lead</v>
      </c>
      <c r="J10" s="43" t="s">
        <v>96</v>
      </c>
      <c r="K10" s="42" t="s">
        <v>776</v>
      </c>
      <c r="M10" s="19" t="s">
        <v>94</v>
      </c>
      <c r="N10" t="s">
        <v>305</v>
      </c>
      <c r="O10" s="19" t="str">
        <f t="shared" ref="O10" si="2">_xlfn.CONCAT(M10,N10)</f>
        <v>EPM_Practice_USAFunctional Lead</v>
      </c>
      <c r="P10" s="20">
        <v>315</v>
      </c>
      <c r="Q10" s="20">
        <v>170</v>
      </c>
      <c r="R10" s="19" t="s">
        <v>776</v>
      </c>
      <c r="S10" s="17"/>
      <c r="T10" s="45">
        <v>45930</v>
      </c>
      <c r="U10" s="19">
        <v>168</v>
      </c>
      <c r="W10" s="19" t="str">
        <v>EPM_Practice_USASr. Application Lead</v>
      </c>
      <c r="Y10" s="2" t="str">
        <f>_xlfn.CONCAT('Pricing Details'!$A17,'Pricing Details'!$B17)</f>
        <v/>
      </c>
      <c r="BJ10" s="2"/>
    </row>
    <row r="11" spans="1:67" x14ac:dyDescent="0.25">
      <c r="A11" s="19" t="s">
        <v>806</v>
      </c>
      <c r="B11" s="19" t="s">
        <v>807</v>
      </c>
      <c r="C11" s="19" t="s">
        <v>808</v>
      </c>
      <c r="D11" s="19"/>
      <c r="E11" s="19" t="s">
        <v>325</v>
      </c>
      <c r="F11" s="19" t="s">
        <v>328</v>
      </c>
      <c r="G11" s="42" t="s">
        <v>94</v>
      </c>
      <c r="H11" s="42" t="s">
        <v>313</v>
      </c>
      <c r="I11" s="46" t="str">
        <f t="shared" si="0"/>
        <v>EPM_Practice_USASolution Architect</v>
      </c>
      <c r="J11" s="43" t="s">
        <v>96</v>
      </c>
      <c r="K11" s="42" t="s">
        <v>776</v>
      </c>
      <c r="M11" s="19" t="s">
        <v>94</v>
      </c>
      <c r="N11" t="s">
        <v>219</v>
      </c>
      <c r="O11" s="19" t="str">
        <f>_xlfn.CONCAT(M11,N11)</f>
        <v>EPM_Practice_USASr. Application Lead</v>
      </c>
      <c r="P11" s="20">
        <v>290</v>
      </c>
      <c r="Q11" s="20">
        <v>160</v>
      </c>
      <c r="R11" s="19" t="s">
        <v>776</v>
      </c>
      <c r="S11" s="17"/>
      <c r="T11" s="45">
        <v>45961</v>
      </c>
      <c r="U11" s="19">
        <v>184</v>
      </c>
      <c r="W11" s="19" t="str">
        <v>EPM_Practice_USASolution Architect</v>
      </c>
      <c r="Y11" s="2" t="str">
        <f>_xlfn.CONCAT('Pricing Details'!$A18,'Pricing Details'!$B18)</f>
        <v/>
      </c>
      <c r="BJ11" s="2"/>
    </row>
    <row r="12" spans="1:67" x14ac:dyDescent="0.25">
      <c r="A12" s="19" t="s">
        <v>809</v>
      </c>
      <c r="B12" s="19" t="s">
        <v>810</v>
      </c>
      <c r="C12" s="19" t="s">
        <v>811</v>
      </c>
      <c r="D12" s="19"/>
      <c r="E12" s="19" t="s">
        <v>97</v>
      </c>
      <c r="F12" s="19" t="s">
        <v>206</v>
      </c>
      <c r="G12" s="42" t="s">
        <v>94</v>
      </c>
      <c r="H12" s="42" t="s">
        <v>309</v>
      </c>
      <c r="I12" s="46" t="str">
        <f t="shared" si="0"/>
        <v>EPM_Practice_USASolution Architect - FCC</v>
      </c>
      <c r="J12" s="43" t="s">
        <v>96</v>
      </c>
      <c r="K12" s="42" t="s">
        <v>776</v>
      </c>
      <c r="M12" s="19" t="s">
        <v>94</v>
      </c>
      <c r="N12" t="s">
        <v>313</v>
      </c>
      <c r="O12" s="19" t="str">
        <f>_xlfn.CONCAT(M12,N12)</f>
        <v>EPM_Practice_USASolution Architect</v>
      </c>
      <c r="P12" s="20">
        <v>365</v>
      </c>
      <c r="Q12" s="20">
        <v>185</v>
      </c>
      <c r="R12" s="19" t="s">
        <v>776</v>
      </c>
      <c r="S12" s="17"/>
      <c r="T12" s="45">
        <v>45991</v>
      </c>
      <c r="U12" s="19">
        <v>144</v>
      </c>
      <c r="W12" s="19" t="str">
        <v>EPM_Practice_USASolution Architect - FCC</v>
      </c>
      <c r="Y12" s="2" t="str">
        <f>_xlfn.CONCAT('Pricing Details'!$A19,'Pricing Details'!$B19)</f>
        <v/>
      </c>
      <c r="BJ12" s="2"/>
    </row>
    <row r="13" spans="1:67" x14ac:dyDescent="0.25">
      <c r="A13" s="19" t="s">
        <v>812</v>
      </c>
      <c r="B13" s="19" t="s">
        <v>813</v>
      </c>
      <c r="C13" s="19" t="s">
        <v>814</v>
      </c>
      <c r="D13" s="19"/>
      <c r="E13" s="19" t="s">
        <v>346</v>
      </c>
      <c r="F13" s="19" t="s">
        <v>427</v>
      </c>
      <c r="G13" s="42" t="s">
        <v>94</v>
      </c>
      <c r="H13" s="42" t="s">
        <v>241</v>
      </c>
      <c r="I13" s="46" t="str">
        <f t="shared" si="0"/>
        <v>EPM_Practice_USASr. Solution Architect</v>
      </c>
      <c r="J13" s="43" t="s">
        <v>96</v>
      </c>
      <c r="K13" s="42" t="s">
        <v>776</v>
      </c>
      <c r="M13" s="19" t="s">
        <v>94</v>
      </c>
      <c r="N13" t="s">
        <v>309</v>
      </c>
      <c r="O13" s="19" t="str">
        <f t="shared" ref="O13" si="3">_xlfn.CONCAT(M13,N13)</f>
        <v>EPM_Practice_USASolution Architect - FCC</v>
      </c>
      <c r="P13" s="20">
        <v>365</v>
      </c>
      <c r="Q13" s="20">
        <v>185</v>
      </c>
      <c r="R13" s="19" t="s">
        <v>776</v>
      </c>
      <c r="S13" s="17"/>
      <c r="T13" s="45">
        <v>46022</v>
      </c>
      <c r="U13" s="19">
        <v>176</v>
      </c>
      <c r="W13" s="19" t="str">
        <v>EPM_Practice_USASr. Solution Architect</v>
      </c>
      <c r="Y13" s="2" t="str">
        <f>_xlfn.CONCAT('Pricing Details'!$A20,'Pricing Details'!$B20)</f>
        <v/>
      </c>
      <c r="BJ13" s="2"/>
    </row>
    <row r="14" spans="1:67" x14ac:dyDescent="0.25">
      <c r="A14" s="19" t="s">
        <v>815</v>
      </c>
      <c r="B14" s="19" t="s">
        <v>187</v>
      </c>
      <c r="C14" s="19" t="s">
        <v>816</v>
      </c>
      <c r="D14" s="19"/>
      <c r="E14" s="19" t="s">
        <v>353</v>
      </c>
      <c r="F14" s="19" t="s">
        <v>432</v>
      </c>
      <c r="G14" s="42" t="s">
        <v>94</v>
      </c>
      <c r="H14" s="42" t="s">
        <v>358</v>
      </c>
      <c r="I14" s="46" t="str">
        <f t="shared" si="0"/>
        <v>EPM_Practice_USAPrincipal</v>
      </c>
      <c r="J14" s="43" t="s">
        <v>96</v>
      </c>
      <c r="K14" s="42" t="s">
        <v>776</v>
      </c>
      <c r="M14" s="19" t="s">
        <v>94</v>
      </c>
      <c r="N14" t="s">
        <v>241</v>
      </c>
      <c r="O14" s="19" t="str">
        <f>_xlfn.CONCAT(M14,N14)</f>
        <v>EPM_Practice_USASr. Solution Architect</v>
      </c>
      <c r="P14" s="20">
        <v>390</v>
      </c>
      <c r="Q14" s="20">
        <v>195</v>
      </c>
      <c r="R14" s="19" t="s">
        <v>776</v>
      </c>
      <c r="S14" s="17"/>
      <c r="T14" s="45">
        <v>46053</v>
      </c>
      <c r="U14" s="19">
        <v>168</v>
      </c>
      <c r="W14" s="19" t="str">
        <v>EPM_Practice_USAPrincipal</v>
      </c>
      <c r="Y14" s="2" t="str">
        <f>_xlfn.CONCAT('Pricing Details'!$A21,'Pricing Details'!$B21)</f>
        <v/>
      </c>
      <c r="BJ14" s="2"/>
      <c r="BO14"/>
    </row>
    <row r="15" spans="1:67" x14ac:dyDescent="0.25">
      <c r="A15" s="19" t="s">
        <v>817</v>
      </c>
      <c r="B15" s="19" t="s">
        <v>818</v>
      </c>
      <c r="C15" s="19" t="s">
        <v>819</v>
      </c>
      <c r="D15" s="19"/>
      <c r="E15" s="19" t="s">
        <v>355</v>
      </c>
      <c r="F15" s="19" t="s">
        <v>429</v>
      </c>
      <c r="G15" s="42" t="s">
        <v>94</v>
      </c>
      <c r="H15" s="42" t="s">
        <v>301</v>
      </c>
      <c r="I15" s="46" t="str">
        <f t="shared" si="0"/>
        <v>EPM_Practice_USAPrincipal Architect</v>
      </c>
      <c r="J15" s="43" t="s">
        <v>96</v>
      </c>
      <c r="K15" s="42" t="s">
        <v>776</v>
      </c>
      <c r="M15" s="19" t="s">
        <v>94</v>
      </c>
      <c r="N15" t="s">
        <v>358</v>
      </c>
      <c r="O15" s="19" t="str">
        <f>_xlfn.CONCAT(M15,N15)</f>
        <v>EPM_Practice_USAPrincipal</v>
      </c>
      <c r="P15" s="20">
        <v>415</v>
      </c>
      <c r="Q15" s="20">
        <v>205</v>
      </c>
      <c r="R15" s="19" t="s">
        <v>776</v>
      </c>
      <c r="S15" s="17"/>
      <c r="T15" s="45">
        <v>46081</v>
      </c>
      <c r="U15" s="19">
        <v>152</v>
      </c>
      <c r="W15" s="19" t="str">
        <v>EPM_Practice_USAPrincipal Architect</v>
      </c>
      <c r="Y15" s="2" t="str">
        <f>_xlfn.CONCAT('Pricing Details'!$A22,'Pricing Details'!$B22)</f>
        <v/>
      </c>
      <c r="BJ15" s="2"/>
    </row>
    <row r="16" spans="1:67" x14ac:dyDescent="0.25">
      <c r="A16" s="19" t="s">
        <v>820</v>
      </c>
      <c r="B16" s="19" t="s">
        <v>821</v>
      </c>
      <c r="C16" s="19" t="s">
        <v>822</v>
      </c>
      <c r="D16" s="19"/>
      <c r="E16" s="19" t="s">
        <v>357</v>
      </c>
      <c r="F16" s="19" t="s">
        <v>202</v>
      </c>
      <c r="G16" s="204" t="s">
        <v>311</v>
      </c>
      <c r="H16" s="270" t="s">
        <v>234</v>
      </c>
      <c r="I16" s="46" t="str">
        <f t="shared" si="0"/>
        <v>EPM_Practice_USA_-_ConsolidationApplication Developer - FCC</v>
      </c>
      <c r="J16" s="43" t="s">
        <v>96</v>
      </c>
      <c r="K16" s="42" t="s">
        <v>776</v>
      </c>
      <c r="M16" s="19" t="s">
        <v>94</v>
      </c>
      <c r="N16" s="368" t="s">
        <v>301</v>
      </c>
      <c r="O16" s="368" t="str">
        <f>_xlfn.CONCAT(M16,N16)</f>
        <v>EPM_Practice_USAPrincipal Architect</v>
      </c>
      <c r="P16" s="20">
        <v>450</v>
      </c>
      <c r="Q16" s="20">
        <v>235</v>
      </c>
      <c r="R16" s="368" t="s">
        <v>776</v>
      </c>
      <c r="S16" s="17"/>
      <c r="T16" s="45">
        <v>46112</v>
      </c>
      <c r="U16" s="19">
        <v>176</v>
      </c>
      <c r="W16" s="19" t="str">
        <v>EPM_Practice_USA_-_ConsolidationApplication Developer - FCC</v>
      </c>
      <c r="Y16" s="2" t="str">
        <f>_xlfn.CONCAT('Pricing Details'!$A23,'Pricing Details'!$B23)</f>
        <v/>
      </c>
      <c r="BJ16" s="2"/>
    </row>
    <row r="17" spans="1:67" x14ac:dyDescent="0.25">
      <c r="A17" s="19" t="s">
        <v>823</v>
      </c>
      <c r="B17" s="19" t="s">
        <v>824</v>
      </c>
      <c r="C17" s="19" t="s">
        <v>825</v>
      </c>
      <c r="D17" s="19"/>
      <c r="E17" s="19" t="s">
        <v>360</v>
      </c>
      <c r="F17" s="19" t="s">
        <v>305</v>
      </c>
      <c r="G17" s="204" t="s">
        <v>311</v>
      </c>
      <c r="H17" s="270" t="s">
        <v>826</v>
      </c>
      <c r="I17" s="46" t="str">
        <f t="shared" si="0"/>
        <v>EPM_Practice_USA_-_ConsolidationSr. Application Developer - FCC</v>
      </c>
      <c r="J17" s="43" t="s">
        <v>96</v>
      </c>
      <c r="K17" s="42" t="s">
        <v>776</v>
      </c>
      <c r="M17" s="19"/>
      <c r="N17"/>
      <c r="O17" s="19"/>
      <c r="P17" s="20"/>
      <c r="Q17" s="20"/>
      <c r="R17" s="19"/>
      <c r="S17" s="17"/>
      <c r="T17" s="45">
        <v>46142</v>
      </c>
      <c r="U17" s="19">
        <v>176</v>
      </c>
      <c r="W17" s="19" t="str">
        <v>EPM_Practice_USA_-_ConsolidationSr. Application Developer - FCC</v>
      </c>
      <c r="Y17" s="2" t="str">
        <f>_xlfn.CONCAT('Pricing Details'!$A24,'Pricing Details'!$B24)</f>
        <v/>
      </c>
      <c r="BJ17" s="2"/>
      <c r="BO17"/>
    </row>
    <row r="18" spans="1:67" x14ac:dyDescent="0.25">
      <c r="A18" s="19" t="s">
        <v>827</v>
      </c>
      <c r="B18" s="19" t="s">
        <v>828</v>
      </c>
      <c r="C18" s="19" t="s">
        <v>829</v>
      </c>
      <c r="D18" s="19"/>
      <c r="E18" s="19" t="s">
        <v>373</v>
      </c>
      <c r="F18" s="19" t="s">
        <v>254</v>
      </c>
      <c r="G18" s="204" t="s">
        <v>311</v>
      </c>
      <c r="H18" s="270" t="s">
        <v>830</v>
      </c>
      <c r="I18" s="46" t="str">
        <f t="shared" si="0"/>
        <v>EPM_Practice_USA_-_ConsolidationSr. Application Developer - ARC</v>
      </c>
      <c r="J18" s="43" t="s">
        <v>96</v>
      </c>
      <c r="K18" s="42" t="s">
        <v>776</v>
      </c>
      <c r="M18" s="19" t="s">
        <v>311</v>
      </c>
      <c r="N18" t="s">
        <v>234</v>
      </c>
      <c r="O18" s="19" t="str">
        <f t="shared" ref="O18:O25" si="4">_xlfn.CONCAT(M18,N18)</f>
        <v>EPM_Practice_USA_-_ConsolidationApplication Developer - FCC</v>
      </c>
      <c r="P18" s="20">
        <v>215</v>
      </c>
      <c r="Q18" s="20">
        <v>125</v>
      </c>
      <c r="R18" s="19" t="s">
        <v>776</v>
      </c>
      <c r="S18" s="17"/>
      <c r="T18" s="45">
        <v>46173</v>
      </c>
      <c r="U18" s="19">
        <v>160</v>
      </c>
      <c r="W18" s="19" t="str">
        <v>EPM_Practice_USA_-_ConsolidationSr. Application Developer - ARC</v>
      </c>
      <c r="Y18" s="2" t="str">
        <f>_xlfn.CONCAT('Pricing Details'!$A25,'Pricing Details'!$B25)</f>
        <v/>
      </c>
      <c r="BJ18" s="2"/>
    </row>
    <row r="19" spans="1:67" x14ac:dyDescent="0.25">
      <c r="A19" s="19" t="s">
        <v>831</v>
      </c>
      <c r="B19" s="19" t="s">
        <v>832</v>
      </c>
      <c r="C19" s="19" t="s">
        <v>833</v>
      </c>
      <c r="D19" s="19"/>
      <c r="E19" s="19" t="s">
        <v>375</v>
      </c>
      <c r="F19" s="19" t="s">
        <v>358</v>
      </c>
      <c r="G19" s="204" t="s">
        <v>311</v>
      </c>
      <c r="H19" s="270" t="s">
        <v>223</v>
      </c>
      <c r="I19" s="46" t="str">
        <f t="shared" ref="I19:I68" si="5">_xlfn.CONCAT(G19,H19)</f>
        <v>EPM_Practice_USA_-_ConsolidationApplication Lead - FCC</v>
      </c>
      <c r="J19" s="43" t="s">
        <v>96</v>
      </c>
      <c r="K19" s="42" t="s">
        <v>776</v>
      </c>
      <c r="M19" s="19" t="s">
        <v>311</v>
      </c>
      <c r="N19" t="s">
        <v>826</v>
      </c>
      <c r="O19" s="19" t="str">
        <f t="shared" si="4"/>
        <v>EPM_Practice_USA_-_ConsolidationSr. Application Developer - FCC</v>
      </c>
      <c r="P19" s="20">
        <v>240</v>
      </c>
      <c r="Q19" s="20">
        <v>135</v>
      </c>
      <c r="R19" s="19" t="s">
        <v>776</v>
      </c>
      <c r="S19" s="17"/>
      <c r="T19" s="45">
        <v>46203</v>
      </c>
      <c r="U19" s="19">
        <v>176</v>
      </c>
      <c r="W19" s="19" t="str">
        <v>EPM_Practice_USA_-_ConsolidationApplication Lead - FCC</v>
      </c>
      <c r="Y19" s="2" t="str">
        <f>_xlfn.CONCAT('Pricing Details'!$A26,'Pricing Details'!$B26)</f>
        <v/>
      </c>
      <c r="BJ19" s="2"/>
    </row>
    <row r="20" spans="1:67" x14ac:dyDescent="0.25">
      <c r="A20" s="19" t="s">
        <v>834</v>
      </c>
      <c r="B20" s="19" t="s">
        <v>835</v>
      </c>
      <c r="C20" s="19" t="s">
        <v>836</v>
      </c>
      <c r="D20" s="19"/>
      <c r="E20" s="19" t="s">
        <v>378</v>
      </c>
      <c r="F20" s="19" t="s">
        <v>301</v>
      </c>
      <c r="G20" s="204" t="s">
        <v>311</v>
      </c>
      <c r="H20" s="270" t="s">
        <v>221</v>
      </c>
      <c r="I20" s="46" t="str">
        <f t="shared" si="5"/>
        <v>EPM_Practice_USA_-_ConsolidationSr. Application Lead - FCC</v>
      </c>
      <c r="J20" s="43" t="s">
        <v>96</v>
      </c>
      <c r="K20" s="42" t="s">
        <v>776</v>
      </c>
      <c r="M20" s="19" t="s">
        <v>311</v>
      </c>
      <c r="N20" t="s">
        <v>830</v>
      </c>
      <c r="O20" s="19" t="str">
        <f t="shared" si="4"/>
        <v>EPM_Practice_USA_-_ConsolidationSr. Application Developer - ARC</v>
      </c>
      <c r="P20" s="20">
        <v>240</v>
      </c>
      <c r="Q20" s="20">
        <v>135</v>
      </c>
      <c r="R20" s="19" t="s">
        <v>776</v>
      </c>
      <c r="S20" s="17"/>
      <c r="T20" s="45">
        <v>46234</v>
      </c>
      <c r="U20" s="19">
        <v>176</v>
      </c>
      <c r="W20" s="19" t="str">
        <v>EPM_Practice_USA_-_ConsolidationSr. Application Lead - FCC</v>
      </c>
      <c r="Y20" s="2" t="str">
        <f>_xlfn.CONCAT('Pricing Details'!$A27,'Pricing Details'!$B27)</f>
        <v/>
      </c>
      <c r="BJ20" s="2"/>
    </row>
    <row r="21" spans="1:67" x14ac:dyDescent="0.25">
      <c r="A21" s="19" t="s">
        <v>837</v>
      </c>
      <c r="B21" s="19" t="s">
        <v>838</v>
      </c>
      <c r="C21" s="19" t="s">
        <v>839</v>
      </c>
      <c r="D21" s="19"/>
      <c r="E21" s="19" t="s">
        <v>416</v>
      </c>
      <c r="F21" s="19" t="s">
        <v>204</v>
      </c>
      <c r="G21" s="204" t="s">
        <v>311</v>
      </c>
      <c r="H21" s="270" t="s">
        <v>313</v>
      </c>
      <c r="I21" s="46" t="str">
        <f t="shared" si="5"/>
        <v>EPM_Practice_USA_-_ConsolidationSolution Architect</v>
      </c>
      <c r="J21" s="43" t="s">
        <v>96</v>
      </c>
      <c r="K21" s="42" t="s">
        <v>776</v>
      </c>
      <c r="M21" s="19" t="s">
        <v>311</v>
      </c>
      <c r="N21" t="s">
        <v>223</v>
      </c>
      <c r="O21" s="19" t="str">
        <f t="shared" si="4"/>
        <v>EPM_Practice_USA_-_ConsolidationApplication Lead - FCC</v>
      </c>
      <c r="P21" s="20">
        <v>265</v>
      </c>
      <c r="Q21" s="20">
        <v>145</v>
      </c>
      <c r="R21" s="19" t="s">
        <v>776</v>
      </c>
      <c r="S21" s="17"/>
      <c r="T21" s="45">
        <v>46265</v>
      </c>
      <c r="U21" s="19">
        <v>168</v>
      </c>
      <c r="W21" s="19" t="str">
        <v>EPM_Practice_USA_-_ConsolidationSolution Architect</v>
      </c>
      <c r="Y21" s="2" t="str">
        <f>_xlfn.CONCAT('Pricing Details'!$A28,'Pricing Details'!$B28)</f>
        <v/>
      </c>
      <c r="BJ21" s="2"/>
    </row>
    <row r="22" spans="1:67" x14ac:dyDescent="0.25">
      <c r="A22" s="19" t="s">
        <v>840</v>
      </c>
      <c r="B22" s="19" t="s">
        <v>841</v>
      </c>
      <c r="C22" s="19" t="s">
        <v>842</v>
      </c>
      <c r="D22" s="19"/>
      <c r="E22" s="19" t="s">
        <v>426</v>
      </c>
      <c r="F22" s="19" t="s">
        <v>195</v>
      </c>
      <c r="G22" s="204" t="s">
        <v>311</v>
      </c>
      <c r="H22" s="270" t="s">
        <v>309</v>
      </c>
      <c r="I22" s="46" t="str">
        <f t="shared" si="5"/>
        <v>EPM_Practice_USA_-_ConsolidationSolution Architect - FCC</v>
      </c>
      <c r="J22" s="43" t="s">
        <v>96</v>
      </c>
      <c r="K22" s="42" t="s">
        <v>776</v>
      </c>
      <c r="M22" s="19" t="s">
        <v>311</v>
      </c>
      <c r="N22" t="s">
        <v>221</v>
      </c>
      <c r="O22" s="19" t="str">
        <f t="shared" si="4"/>
        <v>EPM_Practice_USA_-_ConsolidationSr. Application Lead - FCC</v>
      </c>
      <c r="P22" s="20">
        <v>290</v>
      </c>
      <c r="Q22" s="20">
        <v>160</v>
      </c>
      <c r="R22" s="19" t="s">
        <v>776</v>
      </c>
      <c r="S22" s="17"/>
      <c r="T22" s="45">
        <v>46295</v>
      </c>
      <c r="U22" s="19">
        <v>168</v>
      </c>
      <c r="W22" s="19" t="str">
        <v>EPM_Practice_USA_-_ConsolidationSolution Architect - FCC</v>
      </c>
      <c r="Y22" s="2" t="str">
        <f>_xlfn.CONCAT('Pricing Details'!$A29,'Pricing Details'!$B29)</f>
        <v/>
      </c>
      <c r="BJ22" s="2"/>
    </row>
    <row r="23" spans="1:67" x14ac:dyDescent="0.25">
      <c r="A23" s="19" t="s">
        <v>843</v>
      </c>
      <c r="B23" s="19" t="s">
        <v>844</v>
      </c>
      <c r="C23" s="19" t="s">
        <v>845</v>
      </c>
      <c r="D23" s="19"/>
      <c r="E23" s="19" t="s">
        <v>526</v>
      </c>
      <c r="F23" s="19" t="s">
        <v>407</v>
      </c>
      <c r="G23" s="204" t="s">
        <v>311</v>
      </c>
      <c r="H23" s="270" t="s">
        <v>237</v>
      </c>
      <c r="I23" s="46" t="str">
        <f t="shared" si="5"/>
        <v>EPM_Practice_USA_-_ConsolidationSr. Solution Architect - FCC</v>
      </c>
      <c r="J23" s="43" t="s">
        <v>96</v>
      </c>
      <c r="K23" s="42" t="s">
        <v>776</v>
      </c>
      <c r="M23" s="19" t="s">
        <v>311</v>
      </c>
      <c r="N23" t="s">
        <v>313</v>
      </c>
      <c r="O23" s="19" t="str">
        <f t="shared" si="4"/>
        <v>EPM_Practice_USA_-_ConsolidationSolution Architect</v>
      </c>
      <c r="P23" s="20">
        <v>365</v>
      </c>
      <c r="Q23" s="20">
        <v>185</v>
      </c>
      <c r="R23" s="19" t="s">
        <v>776</v>
      </c>
      <c r="S23" s="17"/>
      <c r="T23" s="45">
        <v>46326</v>
      </c>
      <c r="U23" s="19">
        <v>176</v>
      </c>
      <c r="W23" s="19" t="str">
        <v>EPM_Practice_USA_-_ConsolidationSr. Solution Architect - FCC</v>
      </c>
      <c r="Y23" s="2" t="str">
        <f>_xlfn.CONCAT('Pricing Details'!$A30,'Pricing Details'!$B30)</f>
        <v/>
      </c>
      <c r="BJ23" s="2"/>
    </row>
    <row r="24" spans="1:67" x14ac:dyDescent="0.25">
      <c r="A24" s="19" t="s">
        <v>846</v>
      </c>
      <c r="B24" s="19" t="s">
        <v>847</v>
      </c>
      <c r="C24" s="19" t="s">
        <v>848</v>
      </c>
      <c r="D24" s="19"/>
      <c r="E24" s="259" t="s">
        <v>849</v>
      </c>
      <c r="F24" s="19" t="s">
        <v>200</v>
      </c>
      <c r="G24" s="42" t="s">
        <v>317</v>
      </c>
      <c r="H24" s="270" t="s">
        <v>307</v>
      </c>
      <c r="I24" s="46" t="str">
        <f t="shared" si="5"/>
        <v>EPM_Practice_USA_-_IntegrationApplication Lead</v>
      </c>
      <c r="J24" s="43" t="s">
        <v>96</v>
      </c>
      <c r="K24" s="42" t="s">
        <v>776</v>
      </c>
      <c r="M24" s="19" t="s">
        <v>311</v>
      </c>
      <c r="N24" t="s">
        <v>309</v>
      </c>
      <c r="O24" s="19" t="str">
        <f t="shared" si="4"/>
        <v>EPM_Practice_USA_-_ConsolidationSolution Architect - FCC</v>
      </c>
      <c r="P24" s="20">
        <v>365</v>
      </c>
      <c r="Q24" s="20">
        <v>185</v>
      </c>
      <c r="R24" s="19" t="s">
        <v>776</v>
      </c>
      <c r="S24" s="17"/>
      <c r="T24" s="45">
        <v>46356</v>
      </c>
      <c r="U24" s="19">
        <v>152</v>
      </c>
      <c r="W24" s="19" t="str">
        <v>EPM_Practice_USA_-_IntegrationApplication Lead</v>
      </c>
      <c r="Y24" s="2" t="str">
        <f>_xlfn.CONCAT('Pricing Details'!$A31,'Pricing Details'!$B31)</f>
        <v/>
      </c>
      <c r="BJ24" s="2"/>
    </row>
    <row r="25" spans="1:67" x14ac:dyDescent="0.25">
      <c r="A25" s="19" t="s">
        <v>850</v>
      </c>
      <c r="B25" s="19" t="s">
        <v>851</v>
      </c>
      <c r="C25" s="19" t="s">
        <v>852</v>
      </c>
      <c r="D25" s="19"/>
      <c r="E25" s="259" t="s">
        <v>853</v>
      </c>
      <c r="F25" s="19" t="s">
        <v>438</v>
      </c>
      <c r="G25" s="42" t="s">
        <v>317</v>
      </c>
      <c r="H25" s="270" t="s">
        <v>320</v>
      </c>
      <c r="I25" s="46" t="str">
        <f t="shared" si="5"/>
        <v>EPM_Practice_USA_-_IntegrationSr. Application Support Lead</v>
      </c>
      <c r="J25" s="43" t="s">
        <v>96</v>
      </c>
      <c r="K25" s="42" t="s">
        <v>776</v>
      </c>
      <c r="M25" s="19" t="s">
        <v>311</v>
      </c>
      <c r="N25" t="s">
        <v>237</v>
      </c>
      <c r="O25" s="19" t="str">
        <f t="shared" si="4"/>
        <v>EPM_Practice_USA_-_ConsolidationSr. Solution Architect - FCC</v>
      </c>
      <c r="P25" s="20">
        <v>390</v>
      </c>
      <c r="Q25" s="20">
        <v>195</v>
      </c>
      <c r="R25" s="19" t="s">
        <v>776</v>
      </c>
      <c r="S25" s="17"/>
      <c r="T25" s="45">
        <v>46387</v>
      </c>
      <c r="U25" s="19">
        <v>176</v>
      </c>
      <c r="W25" s="19" t="str">
        <v>EPM_Practice_USA_-_IntegrationSr. Application Support Lead</v>
      </c>
      <c r="Y25" s="2" t="str">
        <f>_xlfn.CONCAT('Pricing Details'!$A32,'Pricing Details'!$B32)</f>
        <v/>
      </c>
      <c r="BJ25" s="2"/>
    </row>
    <row r="26" spans="1:67" x14ac:dyDescent="0.25">
      <c r="A26" s="19" t="s">
        <v>854</v>
      </c>
      <c r="B26" s="19" t="s">
        <v>855</v>
      </c>
      <c r="C26" s="19" t="s">
        <v>856</v>
      </c>
      <c r="D26" s="19"/>
      <c r="E26" s="259" t="s">
        <v>857</v>
      </c>
      <c r="F26" s="19" t="s">
        <v>484</v>
      </c>
      <c r="G26" s="42" t="s">
        <v>317</v>
      </c>
      <c r="H26" s="270" t="s">
        <v>261</v>
      </c>
      <c r="I26" s="46" t="str">
        <f t="shared" si="5"/>
        <v>EPM_Practice_USA_-_IntegrationApplication Developer - DI</v>
      </c>
      <c r="J26" s="43" t="s">
        <v>96</v>
      </c>
      <c r="K26" s="42" t="s">
        <v>776</v>
      </c>
      <c r="M26" s="19"/>
      <c r="N26" s="19"/>
      <c r="O26" s="19"/>
      <c r="P26" s="21"/>
      <c r="Q26" s="21"/>
      <c r="R26" s="19"/>
      <c r="S26" s="17"/>
      <c r="T26" s="45">
        <v>46418</v>
      </c>
      <c r="U26" s="19">
        <v>160</v>
      </c>
      <c r="W26" s="19" t="str">
        <v>EPM_Practice_USA_-_IntegrationApplication Developer - DI</v>
      </c>
      <c r="Y26" s="2" t="str">
        <f>_xlfn.CONCAT('Pricing Details'!$A33,'Pricing Details'!$B33)</f>
        <v/>
      </c>
      <c r="BJ26" s="2"/>
    </row>
    <row r="27" spans="1:67" x14ac:dyDescent="0.25">
      <c r="A27" s="19" t="s">
        <v>858</v>
      </c>
      <c r="B27" s="19" t="s">
        <v>859</v>
      </c>
      <c r="C27" s="19" t="s">
        <v>860</v>
      </c>
      <c r="D27" s="19"/>
      <c r="E27" s="19"/>
      <c r="F27" s="19" t="s">
        <v>534</v>
      </c>
      <c r="G27" s="42" t="s">
        <v>317</v>
      </c>
      <c r="H27" s="270" t="s">
        <v>257</v>
      </c>
      <c r="I27" s="46" t="str">
        <f t="shared" si="5"/>
        <v>EPM_Practice_USA_-_IntegrationSr. Application Developer - DI</v>
      </c>
      <c r="J27" s="43" t="s">
        <v>96</v>
      </c>
      <c r="K27" s="42" t="s">
        <v>776</v>
      </c>
      <c r="M27" s="19" t="s">
        <v>317</v>
      </c>
      <c r="N27" s="19" t="s">
        <v>307</v>
      </c>
      <c r="O27" s="19" t="str">
        <f t="shared" ref="O27:O35" si="6">_xlfn.CONCAT(M27,N27)</f>
        <v>EPM_Practice_USA_-_IntegrationApplication Lead</v>
      </c>
      <c r="P27" s="21">
        <v>265</v>
      </c>
      <c r="Q27" s="21">
        <v>145</v>
      </c>
      <c r="R27" s="19" t="s">
        <v>776</v>
      </c>
      <c r="S27" s="17"/>
      <c r="T27" s="45">
        <v>46446</v>
      </c>
      <c r="U27" s="19">
        <v>152</v>
      </c>
      <c r="W27" s="19" t="str">
        <v>EPM_Practice_USA_-_IntegrationSr. Application Developer - DI</v>
      </c>
      <c r="Y27" s="2" t="str">
        <f>_xlfn.CONCAT('Pricing Details'!$A34,'Pricing Details'!$B34)</f>
        <v/>
      </c>
      <c r="BJ27" s="2"/>
    </row>
    <row r="28" spans="1:67" x14ac:dyDescent="0.25">
      <c r="A28" s="19" t="s">
        <v>861</v>
      </c>
      <c r="B28" s="19" t="s">
        <v>862</v>
      </c>
      <c r="C28" s="19" t="s">
        <v>863</v>
      </c>
      <c r="D28" s="19"/>
      <c r="E28" s="19"/>
      <c r="F28" s="19" t="s">
        <v>458</v>
      </c>
      <c r="G28" s="42" t="s">
        <v>317</v>
      </c>
      <c r="H28" s="270" t="s">
        <v>864</v>
      </c>
      <c r="I28" s="46" t="str">
        <f t="shared" si="5"/>
        <v>EPM_Practice_USA_-_IntegrationApplication Lead - DI</v>
      </c>
      <c r="J28" s="43" t="s">
        <v>96</v>
      </c>
      <c r="K28" s="42" t="s">
        <v>776</v>
      </c>
      <c r="M28" s="19" t="s">
        <v>317</v>
      </c>
      <c r="N28" s="19" t="s">
        <v>320</v>
      </c>
      <c r="O28" s="19" t="str">
        <f t="shared" si="6"/>
        <v>EPM_Practice_USA_-_IntegrationSr. Application Support Lead</v>
      </c>
      <c r="P28" s="21">
        <v>210</v>
      </c>
      <c r="Q28" s="21">
        <v>140</v>
      </c>
      <c r="R28" s="19" t="s">
        <v>776</v>
      </c>
      <c r="S28" s="17"/>
      <c r="T28" s="45">
        <v>46477</v>
      </c>
      <c r="U28" s="19">
        <v>184</v>
      </c>
      <c r="W28" s="19" t="str">
        <v>EPM_Practice_USA_-_IntegrationApplication Lead - DI</v>
      </c>
      <c r="Y28" s="2" t="str">
        <f>_xlfn.CONCAT('Pricing Details'!$A35,'Pricing Details'!$B35)</f>
        <v/>
      </c>
      <c r="BJ28" s="2"/>
    </row>
    <row r="29" spans="1:67" x14ac:dyDescent="0.25">
      <c r="A29" s="19" t="s">
        <v>865</v>
      </c>
      <c r="B29" s="19" t="s">
        <v>866</v>
      </c>
      <c r="C29" s="19" t="s">
        <v>582</v>
      </c>
      <c r="D29" s="19"/>
      <c r="E29" s="19"/>
      <c r="F29" s="19" t="s">
        <v>226</v>
      </c>
      <c r="G29" s="42" t="s">
        <v>317</v>
      </c>
      <c r="H29" s="270" t="s">
        <v>867</v>
      </c>
      <c r="I29" s="46" t="str">
        <f t="shared" si="5"/>
        <v>EPM_Practice_USA_-_IntegrationSr. Application Lead - DI</v>
      </c>
      <c r="J29" s="43" t="s">
        <v>96</v>
      </c>
      <c r="K29" s="42" t="s">
        <v>776</v>
      </c>
      <c r="M29" s="19" t="s">
        <v>317</v>
      </c>
      <c r="N29" s="19" t="s">
        <v>261</v>
      </c>
      <c r="O29" s="19" t="str">
        <f t="shared" si="6"/>
        <v>EPM_Practice_USA_-_IntegrationApplication Developer - DI</v>
      </c>
      <c r="P29" s="21">
        <v>215</v>
      </c>
      <c r="Q29" s="21">
        <v>125</v>
      </c>
      <c r="R29" s="19" t="s">
        <v>776</v>
      </c>
      <c r="S29" s="17"/>
      <c r="T29" s="45">
        <v>46507</v>
      </c>
      <c r="U29" s="19">
        <v>176</v>
      </c>
      <c r="W29" s="19" t="str">
        <v>EPM_Practice_USA_-_IntegrationSr. Application Lead - DI</v>
      </c>
      <c r="Y29" s="2" t="str">
        <f>_xlfn.CONCAT('Pricing Details'!$A36,'Pricing Details'!$B36)</f>
        <v/>
      </c>
      <c r="BJ29" s="2"/>
    </row>
    <row r="30" spans="1:67" x14ac:dyDescent="0.25">
      <c r="A30" s="19" t="s">
        <v>868</v>
      </c>
      <c r="B30" s="19" t="s">
        <v>869</v>
      </c>
      <c r="C30" s="19" t="s">
        <v>870</v>
      </c>
      <c r="D30" s="19"/>
      <c r="E30" s="19"/>
      <c r="F30" s="19" t="s">
        <v>313</v>
      </c>
      <c r="G30" s="42" t="s">
        <v>317</v>
      </c>
      <c r="H30" s="270" t="s">
        <v>246</v>
      </c>
      <c r="I30" s="46" t="str">
        <f t="shared" si="5"/>
        <v>EPM_Practice_USA_-_IntegrationSolution Architect - DI</v>
      </c>
      <c r="J30" s="43" t="s">
        <v>96</v>
      </c>
      <c r="K30" s="42" t="s">
        <v>776</v>
      </c>
      <c r="M30" s="19" t="s">
        <v>317</v>
      </c>
      <c r="N30" s="19" t="s">
        <v>257</v>
      </c>
      <c r="O30" s="19" t="str">
        <f t="shared" si="6"/>
        <v>EPM_Practice_USA_-_IntegrationSr. Application Developer - DI</v>
      </c>
      <c r="P30" s="21">
        <v>240</v>
      </c>
      <c r="Q30" s="21">
        <v>135</v>
      </c>
      <c r="R30" s="19" t="s">
        <v>776</v>
      </c>
      <c r="S30" s="17"/>
      <c r="T30" s="45">
        <v>46538</v>
      </c>
      <c r="U30" s="19">
        <v>160</v>
      </c>
      <c r="W30" s="19" t="str">
        <v>EPM_Practice_USA_-_IntegrationSolution Architect - DI</v>
      </c>
      <c r="Y30" s="2" t="str">
        <f>_xlfn.CONCAT('Pricing Details'!$A37,'Pricing Details'!$B37)</f>
        <v/>
      </c>
      <c r="BJ30" s="2"/>
    </row>
    <row r="31" spans="1:67" x14ac:dyDescent="0.25">
      <c r="A31" s="19" t="s">
        <v>871</v>
      </c>
      <c r="B31" s="19" t="s">
        <v>872</v>
      </c>
      <c r="C31" s="19"/>
      <c r="D31" s="19"/>
      <c r="E31" s="19"/>
      <c r="F31" s="19" t="s">
        <v>246</v>
      </c>
      <c r="G31" s="42" t="s">
        <v>317</v>
      </c>
      <c r="H31" s="270" t="s">
        <v>241</v>
      </c>
      <c r="I31" s="46" t="str">
        <f t="shared" si="5"/>
        <v>EPM_Practice_USA_-_IntegrationSr. Solution Architect</v>
      </c>
      <c r="J31" s="43" t="s">
        <v>96</v>
      </c>
      <c r="K31" s="42" t="s">
        <v>776</v>
      </c>
      <c r="M31" s="19" t="s">
        <v>317</v>
      </c>
      <c r="N31" s="19" t="s">
        <v>864</v>
      </c>
      <c r="O31" s="19" t="str">
        <f t="shared" si="6"/>
        <v>EPM_Practice_USA_-_IntegrationApplication Lead - DI</v>
      </c>
      <c r="P31" s="21">
        <v>265</v>
      </c>
      <c r="Q31" s="21">
        <v>145</v>
      </c>
      <c r="R31" s="19" t="s">
        <v>776</v>
      </c>
      <c r="S31" s="17"/>
      <c r="T31" s="45">
        <v>46568</v>
      </c>
      <c r="U31" s="19">
        <v>176</v>
      </c>
      <c r="W31" s="19" t="str">
        <v>EPM_Practice_USA_-_IntegrationSr. Solution Architect</v>
      </c>
      <c r="Y31" s="2" t="str">
        <f>_xlfn.CONCAT('Pricing Details'!$A38,'Pricing Details'!$B38)</f>
        <v/>
      </c>
      <c r="BJ31" s="2"/>
    </row>
    <row r="32" spans="1:67" x14ac:dyDescent="0.25">
      <c r="A32" s="19" t="s">
        <v>873</v>
      </c>
      <c r="B32" s="19" t="s">
        <v>874</v>
      </c>
      <c r="C32" s="19"/>
      <c r="D32" s="19"/>
      <c r="E32" s="19"/>
      <c r="F32" s="19" t="s">
        <v>309</v>
      </c>
      <c r="G32" s="42" t="s">
        <v>317</v>
      </c>
      <c r="H32" s="270" t="s">
        <v>875</v>
      </c>
      <c r="I32" s="46" t="str">
        <f t="shared" si="5"/>
        <v>EPM_Practice_USA_-_IntegrationSr. Solution Architect - DI</v>
      </c>
      <c r="J32" s="43" t="s">
        <v>96</v>
      </c>
      <c r="K32" s="42" t="s">
        <v>776</v>
      </c>
      <c r="M32" s="19" t="s">
        <v>317</v>
      </c>
      <c r="N32" s="19" t="s">
        <v>867</v>
      </c>
      <c r="O32" s="19" t="str">
        <f t="shared" si="6"/>
        <v>EPM_Practice_USA_-_IntegrationSr. Application Lead - DI</v>
      </c>
      <c r="P32" s="21">
        <v>290</v>
      </c>
      <c r="Q32" s="21">
        <v>160</v>
      </c>
      <c r="R32" s="19" t="s">
        <v>776</v>
      </c>
      <c r="S32" s="17"/>
      <c r="T32" s="45">
        <v>46599</v>
      </c>
      <c r="U32" s="19">
        <v>168</v>
      </c>
      <c r="W32" s="19" t="str">
        <v>EPM_Practice_USA_-_IntegrationSr. Solution Architect - DI</v>
      </c>
      <c r="Y32" s="2" t="str">
        <f>_xlfn.CONCAT('Pricing Details'!$A39,'Pricing Details'!$B39)</f>
        <v/>
      </c>
      <c r="BJ32" s="2"/>
    </row>
    <row r="33" spans="1:68" x14ac:dyDescent="0.25">
      <c r="A33" s="19" t="s">
        <v>876</v>
      </c>
      <c r="B33" s="19" t="s">
        <v>877</v>
      </c>
      <c r="C33" s="19"/>
      <c r="D33" s="19"/>
      <c r="E33" s="19"/>
      <c r="F33" s="19" t="s">
        <v>274</v>
      </c>
      <c r="G33" s="42" t="s">
        <v>325</v>
      </c>
      <c r="H33" s="270" t="s">
        <v>328</v>
      </c>
      <c r="I33" s="46" t="str">
        <f t="shared" si="5"/>
        <v>EPM_Practice_USA_-_Managed_ServicesApplication Support Lead - FCC</v>
      </c>
      <c r="J33" s="43" t="s">
        <v>96</v>
      </c>
      <c r="K33" s="42" t="s">
        <v>776</v>
      </c>
      <c r="M33" s="19" t="s">
        <v>317</v>
      </c>
      <c r="N33" s="19" t="s">
        <v>246</v>
      </c>
      <c r="O33" s="19" t="str">
        <f t="shared" si="6"/>
        <v>EPM_Practice_USA_-_IntegrationSolution Architect - DI</v>
      </c>
      <c r="P33" s="21">
        <v>365</v>
      </c>
      <c r="Q33" s="21">
        <v>185</v>
      </c>
      <c r="R33" s="19" t="s">
        <v>776</v>
      </c>
      <c r="S33" s="17"/>
      <c r="T33" s="45">
        <v>46630</v>
      </c>
      <c r="U33" s="19">
        <v>176</v>
      </c>
      <c r="W33" s="19" t="str">
        <v>EPM_Practice_USA_-_Managed_ServicesApplication Support Lead - FCC</v>
      </c>
      <c r="Y33" s="2" t="str">
        <f>_xlfn.CONCAT('Pricing Details'!$A40,'Pricing Details'!$B40)</f>
        <v/>
      </c>
      <c r="BJ33" s="2"/>
    </row>
    <row r="34" spans="1:68" x14ac:dyDescent="0.25">
      <c r="A34" s="19" t="s">
        <v>878</v>
      </c>
      <c r="B34" s="19" t="s">
        <v>879</v>
      </c>
      <c r="C34" s="19"/>
      <c r="D34" s="19"/>
      <c r="E34" s="19"/>
      <c r="F34" s="19" t="s">
        <v>272</v>
      </c>
      <c r="G34" s="42" t="s">
        <v>325</v>
      </c>
      <c r="H34" s="270" t="s">
        <v>270</v>
      </c>
      <c r="I34" s="46" t="str">
        <f t="shared" si="5"/>
        <v>EPM_Practice_USA_-_Managed_ServicesSr. Application Lead - PLN</v>
      </c>
      <c r="J34" s="43" t="s">
        <v>96</v>
      </c>
      <c r="K34" s="42" t="s">
        <v>776</v>
      </c>
      <c r="M34" s="19" t="s">
        <v>317</v>
      </c>
      <c r="N34" s="19" t="s">
        <v>241</v>
      </c>
      <c r="O34" s="19" t="str">
        <f t="shared" si="6"/>
        <v>EPM_Practice_USA_-_IntegrationSr. Solution Architect</v>
      </c>
      <c r="P34" s="21">
        <v>390</v>
      </c>
      <c r="Q34" s="21">
        <v>195</v>
      </c>
      <c r="R34" s="19" t="s">
        <v>776</v>
      </c>
      <c r="S34" s="17"/>
      <c r="T34" s="45">
        <v>46660</v>
      </c>
      <c r="U34" s="19">
        <v>168</v>
      </c>
      <c r="W34" s="19" t="str">
        <v>EPM_Practice_USA_-_Managed_ServicesSr. Application Lead - PLN</v>
      </c>
      <c r="Y34" s="2" t="str">
        <f>_xlfn.CONCAT('Pricing Details'!$A41,'Pricing Details'!$B41)</f>
        <v/>
      </c>
      <c r="BJ34" s="2"/>
    </row>
    <row r="35" spans="1:68" x14ac:dyDescent="0.25">
      <c r="A35" s="19" t="s">
        <v>880</v>
      </c>
      <c r="B35" s="19" t="s">
        <v>881</v>
      </c>
      <c r="C35" s="19"/>
      <c r="D35" s="19"/>
      <c r="E35" s="19"/>
      <c r="F35" s="19" t="s">
        <v>257</v>
      </c>
      <c r="G35" s="42" t="s">
        <v>325</v>
      </c>
      <c r="H35" s="270" t="s">
        <v>331</v>
      </c>
      <c r="I35" s="46" t="str">
        <f t="shared" si="5"/>
        <v>EPM_Practice_USA_-_Managed_ServicesSr. Application Support Lead - FCC</v>
      </c>
      <c r="J35" s="43" t="s">
        <v>96</v>
      </c>
      <c r="K35" s="42" t="s">
        <v>776</v>
      </c>
      <c r="M35" s="19" t="s">
        <v>317</v>
      </c>
      <c r="N35" s="19" t="s">
        <v>875</v>
      </c>
      <c r="O35" s="19" t="str">
        <f t="shared" si="6"/>
        <v>EPM_Practice_USA_-_IntegrationSr. Solution Architect - DI</v>
      </c>
      <c r="P35" s="21">
        <v>390</v>
      </c>
      <c r="Q35" s="21">
        <v>195</v>
      </c>
      <c r="R35" s="19" t="s">
        <v>776</v>
      </c>
      <c r="S35" s="17"/>
      <c r="T35" s="45">
        <v>46691</v>
      </c>
      <c r="U35" s="19">
        <v>176</v>
      </c>
      <c r="W35" s="19" t="str">
        <v>EPM_Practice_USA_-_Managed_ServicesSr. Application Support Lead - FCC</v>
      </c>
      <c r="Y35" s="2" t="str">
        <f>_xlfn.CONCAT('Pricing Details'!$A42,'Pricing Details'!$B42)</f>
        <v/>
      </c>
      <c r="BJ35" s="2"/>
    </row>
    <row r="36" spans="1:68" x14ac:dyDescent="0.25">
      <c r="A36" s="19" t="s">
        <v>882</v>
      </c>
      <c r="B36" s="19" t="s">
        <v>883</v>
      </c>
      <c r="C36" s="19"/>
      <c r="D36" s="19"/>
      <c r="E36" s="19"/>
      <c r="F36" s="19" t="s">
        <v>280</v>
      </c>
      <c r="G36" s="42" t="s">
        <v>325</v>
      </c>
      <c r="H36" s="270" t="s">
        <v>221</v>
      </c>
      <c r="I36" s="46" t="str">
        <f t="shared" si="5"/>
        <v>EPM_Practice_USA_-_Managed_ServicesSr. Application Lead - FCC</v>
      </c>
      <c r="J36" s="43" t="s">
        <v>96</v>
      </c>
      <c r="K36" s="42" t="s">
        <v>776</v>
      </c>
      <c r="M36" s="19"/>
      <c r="N36" s="19"/>
      <c r="O36" s="19"/>
      <c r="P36" s="21"/>
      <c r="Q36" s="21"/>
      <c r="R36" s="19"/>
      <c r="S36" s="17"/>
      <c r="T36" s="45">
        <v>46721</v>
      </c>
      <c r="U36" s="19">
        <v>160</v>
      </c>
      <c r="W36" s="19" t="str">
        <v>EPM_Practice_USA_-_Managed_ServicesSr. Application Lead - FCC</v>
      </c>
      <c r="Y36" s="2" t="str">
        <f>_xlfn.CONCAT('Pricing Details'!$A43,'Pricing Details'!$B43)</f>
        <v/>
      </c>
      <c r="BJ36" s="2"/>
    </row>
    <row r="37" spans="1:68" x14ac:dyDescent="0.25">
      <c r="A37" s="19" t="s">
        <v>884</v>
      </c>
      <c r="B37" s="19" t="s">
        <v>885</v>
      </c>
      <c r="C37" s="19"/>
      <c r="D37" s="19"/>
      <c r="E37" s="19"/>
      <c r="F37" s="19" t="s">
        <v>219</v>
      </c>
      <c r="G37" s="42" t="s">
        <v>325</v>
      </c>
      <c r="H37" s="270" t="s">
        <v>886</v>
      </c>
      <c r="I37" s="46" t="str">
        <f t="shared" si="5"/>
        <v>EPM_Practice_USA_-_Managed_ServicesApplication Support Lead - PLN</v>
      </c>
      <c r="J37" s="43" t="s">
        <v>96</v>
      </c>
      <c r="K37" s="42" t="s">
        <v>776</v>
      </c>
      <c r="M37" s="19" t="s">
        <v>325</v>
      </c>
      <c r="N37" s="19" t="s">
        <v>328</v>
      </c>
      <c r="O37" s="19" t="str">
        <f t="shared" ref="O37:O67" si="7">_xlfn.CONCAT(M37,N37)</f>
        <v>EPM_Practice_USA_-_Managed_ServicesApplication Support Lead - FCC</v>
      </c>
      <c r="P37" s="21">
        <v>200</v>
      </c>
      <c r="Q37" s="21">
        <v>130</v>
      </c>
      <c r="R37" s="19" t="s">
        <v>776</v>
      </c>
      <c r="S37" s="17"/>
      <c r="T37" s="45">
        <v>46752</v>
      </c>
      <c r="U37" s="19">
        <v>176</v>
      </c>
      <c r="W37" s="19" t="str">
        <v>EPM_Practice_USA_-_Managed_ServicesApplication Support Lead - PLN</v>
      </c>
      <c r="BJ37" s="2"/>
    </row>
    <row r="38" spans="1:68" x14ac:dyDescent="0.25">
      <c r="A38" s="19" t="s">
        <v>887</v>
      </c>
      <c r="B38" s="19" t="s">
        <v>888</v>
      </c>
      <c r="C38" s="19"/>
      <c r="D38" s="19"/>
      <c r="E38" s="19"/>
      <c r="F38" s="19" t="s">
        <v>221</v>
      </c>
      <c r="G38" s="42" t="s">
        <v>325</v>
      </c>
      <c r="H38" s="270" t="s">
        <v>320</v>
      </c>
      <c r="I38" s="46" t="str">
        <f t="shared" si="5"/>
        <v>EPM_Practice_USA_-_Managed_ServicesSr. Application Support Lead</v>
      </c>
      <c r="J38" s="43" t="s">
        <v>96</v>
      </c>
      <c r="K38" s="42" t="s">
        <v>776</v>
      </c>
      <c r="M38" s="19" t="s">
        <v>325</v>
      </c>
      <c r="N38" s="19" t="s">
        <v>270</v>
      </c>
      <c r="O38" s="19" t="str">
        <f t="shared" si="7"/>
        <v>EPM_Practice_USA_-_Managed_ServicesSr. Application Lead - PLN</v>
      </c>
      <c r="P38" s="21">
        <v>290</v>
      </c>
      <c r="Q38" s="21">
        <v>160</v>
      </c>
      <c r="R38" s="19" t="s">
        <v>776</v>
      </c>
      <c r="S38" s="17"/>
      <c r="T38" s="45">
        <v>46783</v>
      </c>
      <c r="U38" s="19">
        <v>168</v>
      </c>
      <c r="W38" s="19" t="str">
        <v>EPM_Practice_USA_-_Managed_ServicesSr. Application Support Lead</v>
      </c>
      <c r="BJ38" s="2"/>
    </row>
    <row r="39" spans="1:68" x14ac:dyDescent="0.25">
      <c r="A39" s="19" t="s">
        <v>889</v>
      </c>
      <c r="B39" s="19" t="s">
        <v>890</v>
      </c>
      <c r="C39" s="19"/>
      <c r="D39" s="19"/>
      <c r="E39" s="19"/>
      <c r="F39" s="19" t="s">
        <v>270</v>
      </c>
      <c r="G39" s="42" t="s">
        <v>325</v>
      </c>
      <c r="H39" s="204" t="s">
        <v>267</v>
      </c>
      <c r="I39" s="46" t="str">
        <f t="shared" si="5"/>
        <v>EPM_Practice_USA_-_Managed_ServicesSr. Integration Lead</v>
      </c>
      <c r="J39" s="43" t="s">
        <v>96</v>
      </c>
      <c r="K39" s="42" t="s">
        <v>776</v>
      </c>
      <c r="M39" s="19" t="s">
        <v>325</v>
      </c>
      <c r="N39" s="19" t="s">
        <v>331</v>
      </c>
      <c r="O39" s="19" t="str">
        <f t="shared" si="7"/>
        <v>EPM_Practice_USA_-_Managed_ServicesSr. Application Support Lead - FCC</v>
      </c>
      <c r="P39" s="21">
        <v>210</v>
      </c>
      <c r="Q39" s="21">
        <v>140</v>
      </c>
      <c r="R39" s="19" t="s">
        <v>776</v>
      </c>
      <c r="S39" s="17"/>
      <c r="T39" s="45">
        <v>46812</v>
      </c>
      <c r="U39" s="19">
        <v>160</v>
      </c>
      <c r="W39" s="19" t="str">
        <v>EPM_Practice_USA_-_Managed_ServicesSr. Integration Lead</v>
      </c>
      <c r="BJ39" s="2"/>
    </row>
    <row r="40" spans="1:68" x14ac:dyDescent="0.25">
      <c r="A40" s="19" t="s">
        <v>891</v>
      </c>
      <c r="B40" s="19" t="s">
        <v>892</v>
      </c>
      <c r="C40" s="19"/>
      <c r="D40" s="19"/>
      <c r="E40" s="19"/>
      <c r="F40" s="19" t="s">
        <v>320</v>
      </c>
      <c r="G40" s="42" t="s">
        <v>325</v>
      </c>
      <c r="H40" s="42" t="s">
        <v>893</v>
      </c>
      <c r="I40" s="46" t="str">
        <f t="shared" si="5"/>
        <v>EPM_Practice_USA_-_Managed_ServicesSr. Reporting Lead</v>
      </c>
      <c r="J40" s="43" t="s">
        <v>96</v>
      </c>
      <c r="K40" s="42" t="s">
        <v>776</v>
      </c>
      <c r="M40" s="19" t="s">
        <v>325</v>
      </c>
      <c r="N40" s="19" t="s">
        <v>221</v>
      </c>
      <c r="O40" s="19" t="str">
        <f t="shared" si="7"/>
        <v>EPM_Practice_USA_-_Managed_ServicesSr. Application Lead - FCC</v>
      </c>
      <c r="P40" s="21">
        <v>290</v>
      </c>
      <c r="Q40" s="21">
        <v>160</v>
      </c>
      <c r="R40" s="19" t="s">
        <v>776</v>
      </c>
      <c r="S40" s="17"/>
      <c r="T40" s="45">
        <v>46843</v>
      </c>
      <c r="U40" s="19">
        <v>184</v>
      </c>
      <c r="W40" s="19" t="str">
        <v>EPM_Practice_USA_-_Managed_ServicesSr. Reporting Lead</v>
      </c>
      <c r="BJ40" s="2"/>
    </row>
    <row r="41" spans="1:68" x14ac:dyDescent="0.25">
      <c r="A41" s="19" t="s">
        <v>894</v>
      </c>
      <c r="B41" s="19" t="s">
        <v>895</v>
      </c>
      <c r="C41" s="19"/>
      <c r="D41" s="19"/>
      <c r="E41" s="19"/>
      <c r="F41" s="19" t="s">
        <v>331</v>
      </c>
      <c r="G41" s="42" t="s">
        <v>325</v>
      </c>
      <c r="H41" s="42" t="s">
        <v>272</v>
      </c>
      <c r="I41" s="46" t="str">
        <f t="shared" si="5"/>
        <v>EPM_Practice_USA_-_Managed_ServicesSr. Application Developer</v>
      </c>
      <c r="J41" s="43" t="s">
        <v>96</v>
      </c>
      <c r="K41" s="42" t="s">
        <v>776</v>
      </c>
      <c r="M41" s="19" t="s">
        <v>325</v>
      </c>
      <c r="N41" s="19" t="s">
        <v>886</v>
      </c>
      <c r="O41" s="19" t="str">
        <f t="shared" si="7"/>
        <v>EPM_Practice_USA_-_Managed_ServicesApplication Support Lead - PLN</v>
      </c>
      <c r="P41" s="21">
        <v>200</v>
      </c>
      <c r="Q41" s="21">
        <v>130</v>
      </c>
      <c r="R41" s="19" t="s">
        <v>776</v>
      </c>
      <c r="S41" s="17"/>
      <c r="T41" s="45">
        <v>46873</v>
      </c>
      <c r="U41" s="19">
        <v>160</v>
      </c>
      <c r="W41" s="19" t="str">
        <v>EPM_Practice_USA_-_Managed_ServicesSr. Application Developer</v>
      </c>
      <c r="BJ41" s="2"/>
      <c r="BO41"/>
    </row>
    <row r="42" spans="1:68" x14ac:dyDescent="0.25">
      <c r="A42" s="19" t="s">
        <v>896</v>
      </c>
      <c r="B42" s="19" t="s">
        <v>897</v>
      </c>
      <c r="C42" s="19"/>
      <c r="D42" s="19"/>
      <c r="E42" s="19"/>
      <c r="F42" s="19" t="s">
        <v>530</v>
      </c>
      <c r="G42" s="42" t="s">
        <v>325</v>
      </c>
      <c r="H42" s="42" t="s">
        <v>307</v>
      </c>
      <c r="I42" s="46" t="str">
        <f t="shared" si="5"/>
        <v>EPM_Practice_USA_-_Managed_ServicesApplication Lead</v>
      </c>
      <c r="J42" s="43" t="s">
        <v>96</v>
      </c>
      <c r="K42" s="42" t="s">
        <v>776</v>
      </c>
      <c r="M42" s="19" t="s">
        <v>325</v>
      </c>
      <c r="N42" s="19" t="s">
        <v>320</v>
      </c>
      <c r="O42" s="19" t="str">
        <f t="shared" si="7"/>
        <v>EPM_Practice_USA_-_Managed_ServicesSr. Application Support Lead</v>
      </c>
      <c r="P42" s="21">
        <v>210</v>
      </c>
      <c r="Q42" s="21">
        <v>140</v>
      </c>
      <c r="R42" s="19" t="s">
        <v>776</v>
      </c>
      <c r="S42" s="17"/>
      <c r="T42" s="45">
        <v>46904</v>
      </c>
      <c r="U42" s="19">
        <v>176</v>
      </c>
      <c r="W42" s="19" t="str">
        <v>EPM_Practice_USA_-_Managed_ServicesApplication Lead</v>
      </c>
      <c r="BJ42" s="2"/>
      <c r="BO42"/>
    </row>
    <row r="43" spans="1:68" x14ac:dyDescent="0.25">
      <c r="A43" s="19" t="s">
        <v>898</v>
      </c>
      <c r="B43" s="19" t="s">
        <v>899</v>
      </c>
      <c r="C43" s="19"/>
      <c r="D43" s="19"/>
      <c r="E43" s="19"/>
      <c r="F43" s="19" t="s">
        <v>411</v>
      </c>
      <c r="G43" s="42" t="s">
        <v>325</v>
      </c>
      <c r="H43" s="42" t="s">
        <v>254</v>
      </c>
      <c r="I43" s="46" t="str">
        <f t="shared" si="5"/>
        <v>EPM_Practice_USA_-_Managed_ServicesIntegration Lead</v>
      </c>
      <c r="J43" s="43" t="s">
        <v>96</v>
      </c>
      <c r="K43" s="42" t="s">
        <v>776</v>
      </c>
      <c r="M43" s="19" t="s">
        <v>325</v>
      </c>
      <c r="N43" s="19" t="s">
        <v>267</v>
      </c>
      <c r="O43" s="19" t="str">
        <f t="shared" si="7"/>
        <v>EPM_Practice_USA_-_Managed_ServicesSr. Integration Lead</v>
      </c>
      <c r="P43" s="21">
        <v>290</v>
      </c>
      <c r="Q43" s="21">
        <v>160</v>
      </c>
      <c r="R43" s="19" t="s">
        <v>776</v>
      </c>
      <c r="S43" s="17"/>
      <c r="T43" s="45">
        <v>46934</v>
      </c>
      <c r="U43" s="19">
        <v>176</v>
      </c>
      <c r="W43" s="19" t="str">
        <v>EPM_Practice_USA_-_Managed_ServicesIntegration Lead</v>
      </c>
      <c r="BJ43" s="2"/>
      <c r="BO43"/>
    </row>
    <row r="44" spans="1:68" x14ac:dyDescent="0.25">
      <c r="A44" s="19" t="s">
        <v>900</v>
      </c>
      <c r="B44" s="19" t="s">
        <v>901</v>
      </c>
      <c r="C44" s="19"/>
      <c r="D44" s="19"/>
      <c r="E44" s="19"/>
      <c r="F44" s="19" t="s">
        <v>452</v>
      </c>
      <c r="G44" s="42" t="s">
        <v>325</v>
      </c>
      <c r="H44" s="42" t="s">
        <v>902</v>
      </c>
      <c r="I44" s="46" t="str">
        <f t="shared" si="5"/>
        <v>EPM_Practice_USA_-_Managed_ServicesReporting Lead</v>
      </c>
      <c r="J44" s="43" t="s">
        <v>96</v>
      </c>
      <c r="K44" s="42" t="s">
        <v>776</v>
      </c>
      <c r="M44" s="19" t="s">
        <v>325</v>
      </c>
      <c r="N44" s="19" t="s">
        <v>893</v>
      </c>
      <c r="O44" s="19" t="str">
        <f t="shared" si="7"/>
        <v>EPM_Practice_USA_-_Managed_ServicesSr. Reporting Lead</v>
      </c>
      <c r="P44" s="21">
        <v>290</v>
      </c>
      <c r="Q44" s="21">
        <v>160</v>
      </c>
      <c r="R44" s="19" t="s">
        <v>776</v>
      </c>
      <c r="S44" s="17"/>
      <c r="T44" s="45">
        <v>46965</v>
      </c>
      <c r="U44" s="19">
        <v>160</v>
      </c>
      <c r="W44" s="19" t="str">
        <v>EPM_Practice_USA_-_Managed_ServicesReporting Lead</v>
      </c>
      <c r="BJ44" s="2"/>
      <c r="BO44"/>
    </row>
    <row r="45" spans="1:68" x14ac:dyDescent="0.25">
      <c r="A45" s="19" t="s">
        <v>903</v>
      </c>
      <c r="B45" s="19" t="s">
        <v>904</v>
      </c>
      <c r="C45" s="19"/>
      <c r="D45" s="19"/>
      <c r="E45" s="19"/>
      <c r="F45" s="19" t="s">
        <v>506</v>
      </c>
      <c r="G45" s="42" t="s">
        <v>325</v>
      </c>
      <c r="H45" s="42" t="s">
        <v>313</v>
      </c>
      <c r="I45" s="46" t="str">
        <f t="shared" si="5"/>
        <v>EPM_Practice_USA_-_Managed_ServicesSolution Architect</v>
      </c>
      <c r="J45" s="43" t="s">
        <v>96</v>
      </c>
      <c r="K45" s="42" t="s">
        <v>776</v>
      </c>
      <c r="M45" s="19" t="s">
        <v>325</v>
      </c>
      <c r="N45" s="19" t="s">
        <v>272</v>
      </c>
      <c r="O45" s="19" t="str">
        <f t="shared" si="7"/>
        <v>EPM_Practice_USA_-_Managed_ServicesSr. Application Developer</v>
      </c>
      <c r="P45" s="21">
        <v>240</v>
      </c>
      <c r="Q45" s="21">
        <v>135</v>
      </c>
      <c r="R45" s="19" t="s">
        <v>776</v>
      </c>
      <c r="S45" s="17"/>
      <c r="T45" s="45">
        <v>46996</v>
      </c>
      <c r="U45" s="19">
        <v>184</v>
      </c>
      <c r="W45" s="19" t="str">
        <v>EPM_Practice_USA_-_Managed_ServicesSolution Architect</v>
      </c>
      <c r="BO45"/>
      <c r="BP45"/>
    </row>
    <row r="46" spans="1:68" x14ac:dyDescent="0.25">
      <c r="A46" s="19" t="s">
        <v>905</v>
      </c>
      <c r="B46" s="19" t="s">
        <v>906</v>
      </c>
      <c r="C46" s="19"/>
      <c r="D46" s="19"/>
      <c r="E46" s="19"/>
      <c r="F46" s="19" t="s">
        <v>448</v>
      </c>
      <c r="G46" s="42" t="s">
        <v>325</v>
      </c>
      <c r="H46" s="42" t="s">
        <v>241</v>
      </c>
      <c r="I46" s="46" t="str">
        <f t="shared" si="5"/>
        <v>EPM_Practice_USA_-_Managed_ServicesSr. Solution Architect</v>
      </c>
      <c r="J46" s="43" t="s">
        <v>96</v>
      </c>
      <c r="K46" s="42" t="s">
        <v>776</v>
      </c>
      <c r="M46" s="19" t="s">
        <v>325</v>
      </c>
      <c r="N46" s="19" t="s">
        <v>307</v>
      </c>
      <c r="O46" s="19" t="str">
        <f t="shared" si="7"/>
        <v>EPM_Practice_USA_-_Managed_ServicesApplication Lead</v>
      </c>
      <c r="P46" s="21">
        <v>265</v>
      </c>
      <c r="Q46" s="21">
        <v>145</v>
      </c>
      <c r="R46" s="19" t="s">
        <v>776</v>
      </c>
      <c r="S46" s="17"/>
      <c r="T46" s="45">
        <v>47026</v>
      </c>
      <c r="U46" s="19">
        <v>160</v>
      </c>
      <c r="W46" s="19" t="str">
        <v>EPM_Practice_USA_-_Managed_ServicesSr. Solution Architect</v>
      </c>
      <c r="BO46"/>
      <c r="BP46"/>
    </row>
    <row r="47" spans="1:68" x14ac:dyDescent="0.25">
      <c r="A47" s="19" t="s">
        <v>907</v>
      </c>
      <c r="B47" s="19" t="s">
        <v>908</v>
      </c>
      <c r="C47" s="19"/>
      <c r="D47" s="19"/>
      <c r="E47" s="19"/>
      <c r="F47" s="19" t="s">
        <v>349</v>
      </c>
      <c r="G47" s="42" t="s">
        <v>325</v>
      </c>
      <c r="H47" s="42" t="s">
        <v>301</v>
      </c>
      <c r="I47" s="46" t="str">
        <f t="shared" si="5"/>
        <v>EPM_Practice_USA_-_Managed_ServicesPrincipal Architect</v>
      </c>
      <c r="J47" s="43" t="s">
        <v>96</v>
      </c>
      <c r="K47" s="42" t="s">
        <v>776</v>
      </c>
      <c r="M47" s="19" t="s">
        <v>325</v>
      </c>
      <c r="N47" s="19" t="s">
        <v>254</v>
      </c>
      <c r="O47" s="19" t="str">
        <f t="shared" si="7"/>
        <v>EPM_Practice_USA_-_Managed_ServicesIntegration Lead</v>
      </c>
      <c r="P47" s="21">
        <v>265</v>
      </c>
      <c r="Q47" s="21">
        <v>145</v>
      </c>
      <c r="R47" s="19" t="s">
        <v>776</v>
      </c>
      <c r="S47" s="17"/>
      <c r="T47" s="45">
        <v>47057</v>
      </c>
      <c r="U47" s="19">
        <v>176</v>
      </c>
      <c r="W47" s="19" t="str">
        <v>EPM_Practice_USA_-_Managed_ServicesPrincipal Architect</v>
      </c>
      <c r="BO47"/>
      <c r="BP47"/>
    </row>
    <row r="48" spans="1:68" x14ac:dyDescent="0.25">
      <c r="A48" s="19" t="s">
        <v>909</v>
      </c>
      <c r="B48" s="19" t="s">
        <v>910</v>
      </c>
      <c r="C48" s="19"/>
      <c r="D48" s="19"/>
      <c r="E48" s="19"/>
      <c r="F48" s="19" t="s">
        <v>259</v>
      </c>
      <c r="G48" s="42" t="s">
        <v>97</v>
      </c>
      <c r="H48" s="206" t="s">
        <v>241</v>
      </c>
      <c r="I48" s="46" t="str">
        <f t="shared" si="5"/>
        <v>EPM_Practice_USA_-_PlanningSr. Solution Architect</v>
      </c>
      <c r="J48" s="43" t="s">
        <v>96</v>
      </c>
      <c r="K48" s="42" t="s">
        <v>776</v>
      </c>
      <c r="M48" s="19" t="s">
        <v>325</v>
      </c>
      <c r="N48" s="19" t="s">
        <v>902</v>
      </c>
      <c r="O48" s="19" t="str">
        <f t="shared" si="7"/>
        <v>EPM_Practice_USA_-_Managed_ServicesReporting Lead</v>
      </c>
      <c r="P48" s="21">
        <v>265</v>
      </c>
      <c r="Q48" s="21">
        <v>145</v>
      </c>
      <c r="R48" s="19" t="s">
        <v>776</v>
      </c>
      <c r="S48" s="17"/>
      <c r="T48" s="45">
        <v>47087</v>
      </c>
      <c r="U48" s="19">
        <v>160</v>
      </c>
      <c r="W48" s="19" t="str">
        <v>EPM_Practice_USA_-_PlanningSr. Solution Architect</v>
      </c>
      <c r="BO48"/>
      <c r="BP48"/>
    </row>
    <row r="49" spans="1:68" x14ac:dyDescent="0.25">
      <c r="A49" s="19" t="s">
        <v>911</v>
      </c>
      <c r="B49" s="19" t="s">
        <v>912</v>
      </c>
      <c r="C49" s="19"/>
      <c r="D49" s="19"/>
      <c r="E49" s="19"/>
      <c r="F49" s="19" t="s">
        <v>267</v>
      </c>
      <c r="G49" s="42" t="s">
        <v>97</v>
      </c>
      <c r="H49" s="42" t="s">
        <v>216</v>
      </c>
      <c r="I49" s="46" t="str">
        <f t="shared" si="5"/>
        <v>EPM_Practice_USA_-_PlanningApplication Developer</v>
      </c>
      <c r="J49" s="43" t="s">
        <v>96</v>
      </c>
      <c r="K49" s="42" t="s">
        <v>776</v>
      </c>
      <c r="M49" s="19" t="s">
        <v>325</v>
      </c>
      <c r="N49" s="19" t="s">
        <v>313</v>
      </c>
      <c r="O49" s="19" t="str">
        <f t="shared" si="7"/>
        <v>EPM_Practice_USA_-_Managed_ServicesSolution Architect</v>
      </c>
      <c r="P49" s="21">
        <v>365</v>
      </c>
      <c r="Q49" s="21">
        <v>185</v>
      </c>
      <c r="R49" s="19" t="s">
        <v>776</v>
      </c>
      <c r="S49" s="17"/>
      <c r="T49" s="45">
        <v>47118</v>
      </c>
      <c r="U49" s="19">
        <v>160</v>
      </c>
      <c r="W49" s="19" t="str">
        <v>EPM_Practice_USA_-_PlanningApplication Developer</v>
      </c>
      <c r="BO49"/>
      <c r="BP49"/>
    </row>
    <row r="50" spans="1:68" x14ac:dyDescent="0.25">
      <c r="A50" s="19" t="s">
        <v>913</v>
      </c>
      <c r="B50" s="19" t="s">
        <v>914</v>
      </c>
      <c r="C50" s="19"/>
      <c r="D50" s="19"/>
      <c r="E50" s="19"/>
      <c r="F50" s="19" t="s">
        <v>198</v>
      </c>
      <c r="G50" s="42" t="s">
        <v>97</v>
      </c>
      <c r="H50" s="42" t="s">
        <v>301</v>
      </c>
      <c r="I50" s="46" t="str">
        <f t="shared" si="5"/>
        <v>EPM_Practice_USA_-_PlanningPrincipal Architect</v>
      </c>
      <c r="J50" s="43" t="s">
        <v>96</v>
      </c>
      <c r="K50" s="42" t="s">
        <v>776</v>
      </c>
      <c r="M50" s="19" t="s">
        <v>325</v>
      </c>
      <c r="N50" s="19" t="s">
        <v>241</v>
      </c>
      <c r="O50" s="19" t="str">
        <f t="shared" si="7"/>
        <v>EPM_Practice_USA_-_Managed_ServicesSr. Solution Architect</v>
      </c>
      <c r="P50" s="21">
        <v>390</v>
      </c>
      <c r="Q50" s="21">
        <v>195</v>
      </c>
      <c r="R50" s="19" t="s">
        <v>776</v>
      </c>
      <c r="S50" s="17"/>
      <c r="T50" s="45">
        <v>47149</v>
      </c>
      <c r="U50" s="19">
        <v>176</v>
      </c>
      <c r="W50" s="19" t="str">
        <v>EPM_Practice_USA_-_PlanningPrincipal Architect</v>
      </c>
      <c r="BO50"/>
      <c r="BP50"/>
    </row>
    <row r="51" spans="1:68" x14ac:dyDescent="0.25">
      <c r="A51" s="19" t="s">
        <v>915</v>
      </c>
      <c r="B51" s="19" t="s">
        <v>916</v>
      </c>
      <c r="C51" s="19"/>
      <c r="D51" s="19"/>
      <c r="E51" s="19"/>
      <c r="F51" s="19" t="s">
        <v>421</v>
      </c>
      <c r="G51" s="42" t="s">
        <v>97</v>
      </c>
      <c r="H51" s="42" t="s">
        <v>254</v>
      </c>
      <c r="I51" s="46" t="str">
        <f t="shared" si="5"/>
        <v>EPM_Practice_USA_-_PlanningIntegration Lead</v>
      </c>
      <c r="J51" s="43" t="s">
        <v>96</v>
      </c>
      <c r="K51" s="42" t="s">
        <v>776</v>
      </c>
      <c r="M51" s="19" t="s">
        <v>325</v>
      </c>
      <c r="N51" s="19" t="s">
        <v>301</v>
      </c>
      <c r="O51" s="19" t="str">
        <f t="shared" si="7"/>
        <v>EPM_Practice_USA_-_Managed_ServicesPrincipal Architect</v>
      </c>
      <c r="P51" s="21">
        <v>450</v>
      </c>
      <c r="Q51" s="21">
        <v>235</v>
      </c>
      <c r="R51" s="19" t="s">
        <v>776</v>
      </c>
      <c r="S51" s="17"/>
      <c r="T51" s="45">
        <v>47177</v>
      </c>
      <c r="U51" s="19">
        <v>152</v>
      </c>
      <c r="W51" s="19" t="str">
        <v>EPM_Practice_USA_-_PlanningIntegration Lead</v>
      </c>
      <c r="BO51"/>
      <c r="BP51"/>
    </row>
    <row r="52" spans="1:68" x14ac:dyDescent="0.25">
      <c r="A52" s="19" t="s">
        <v>917</v>
      </c>
      <c r="B52" s="19" t="s">
        <v>918</v>
      </c>
      <c r="C52" s="19"/>
      <c r="D52" s="19"/>
      <c r="E52" s="19"/>
      <c r="F52" s="19" t="s">
        <v>95</v>
      </c>
      <c r="G52" s="42" t="s">
        <v>97</v>
      </c>
      <c r="H52" s="42" t="s">
        <v>337</v>
      </c>
      <c r="I52" s="46" t="str">
        <f t="shared" si="5"/>
        <v>EPM_Practice_USA_-_PlanningApplication Support Lead - EPB</v>
      </c>
      <c r="J52" s="43" t="s">
        <v>96</v>
      </c>
      <c r="K52" s="42" t="s">
        <v>776</v>
      </c>
      <c r="M52" s="19"/>
      <c r="N52" s="19"/>
      <c r="O52" s="19" t="str">
        <f t="shared" si="7"/>
        <v/>
      </c>
      <c r="P52" s="21"/>
      <c r="Q52" s="21"/>
      <c r="R52" s="19"/>
      <c r="S52" s="17"/>
      <c r="T52" s="45">
        <v>47208</v>
      </c>
      <c r="U52" s="19">
        <v>176</v>
      </c>
      <c r="W52" s="19" t="str">
        <v>EPM_Practice_USA_-_PlanningApplication Support Lead - EPB</v>
      </c>
      <c r="BO52"/>
      <c r="BP52"/>
    </row>
    <row r="53" spans="1:68" ht="30" x14ac:dyDescent="0.25">
      <c r="A53" s="19" t="s">
        <v>919</v>
      </c>
      <c r="B53" s="19" t="s">
        <v>920</v>
      </c>
      <c r="C53" s="19"/>
      <c r="D53" s="19"/>
      <c r="E53" s="19"/>
      <c r="F53" s="19" t="s">
        <v>468</v>
      </c>
      <c r="G53" s="42" t="s">
        <v>97</v>
      </c>
      <c r="H53" s="42" t="s">
        <v>921</v>
      </c>
      <c r="I53" s="46" t="str">
        <f t="shared" si="5"/>
        <v>EPM_Practice_USA_-_PlanningSr. Application Support Lead - PLN</v>
      </c>
      <c r="J53" s="43" t="s">
        <v>96</v>
      </c>
      <c r="K53" s="42" t="s">
        <v>776</v>
      </c>
      <c r="M53" s="19" t="s">
        <v>97</v>
      </c>
      <c r="N53" s="19" t="s">
        <v>241</v>
      </c>
      <c r="O53" s="19" t="str">
        <f t="shared" si="7"/>
        <v>EPM_Practice_USA_-_PlanningSr. Solution Architect</v>
      </c>
      <c r="P53" s="21">
        <v>390</v>
      </c>
      <c r="Q53" s="21">
        <v>195</v>
      </c>
      <c r="R53" s="19" t="s">
        <v>776</v>
      </c>
      <c r="S53" s="17"/>
      <c r="T53" s="45">
        <v>47238</v>
      </c>
      <c r="U53" s="19">
        <v>168</v>
      </c>
      <c r="W53" s="19" t="str">
        <v>EPM_Practice_USA_-_PlanningSr. Application Support Lead - PLN</v>
      </c>
      <c r="BO53"/>
      <c r="BP53"/>
    </row>
    <row r="54" spans="1:68" x14ac:dyDescent="0.25">
      <c r="A54" s="19" t="s">
        <v>922</v>
      </c>
      <c r="B54" s="19" t="s">
        <v>923</v>
      </c>
      <c r="C54" s="19"/>
      <c r="D54" s="19"/>
      <c r="E54" s="19"/>
      <c r="F54" s="19" t="s">
        <v>446</v>
      </c>
      <c r="G54" s="42" t="s">
        <v>97</v>
      </c>
      <c r="H54" s="42" t="s">
        <v>272</v>
      </c>
      <c r="I54" s="46" t="str">
        <f t="shared" si="5"/>
        <v>EPM_Practice_USA_-_PlanningSr. Application Developer</v>
      </c>
      <c r="J54" s="43" t="s">
        <v>96</v>
      </c>
      <c r="K54" s="42" t="s">
        <v>776</v>
      </c>
      <c r="M54" s="19" t="s">
        <v>97</v>
      </c>
      <c r="N54" s="19" t="s">
        <v>216</v>
      </c>
      <c r="O54" s="19" t="str">
        <f t="shared" si="7"/>
        <v>EPM_Practice_USA_-_PlanningApplication Developer</v>
      </c>
      <c r="P54" s="21">
        <v>215</v>
      </c>
      <c r="Q54" s="21">
        <v>125</v>
      </c>
      <c r="R54" s="19" t="s">
        <v>776</v>
      </c>
      <c r="S54" s="17"/>
      <c r="T54" s="45">
        <v>47269</v>
      </c>
      <c r="U54" s="19">
        <v>176</v>
      </c>
      <c r="W54" s="19" t="str">
        <v>EPM_Practice_USA_-_PlanningSr. Application Developer</v>
      </c>
      <c r="BO54"/>
      <c r="BP54"/>
    </row>
    <row r="55" spans="1:68" x14ac:dyDescent="0.25">
      <c r="A55" s="19" t="s">
        <v>924</v>
      </c>
      <c r="B55" s="19" t="s">
        <v>925</v>
      </c>
      <c r="C55" s="19"/>
      <c r="D55" s="19"/>
      <c r="E55" s="19"/>
      <c r="F55" s="19" t="s">
        <v>230</v>
      </c>
      <c r="G55" s="42" t="s">
        <v>97</v>
      </c>
      <c r="H55" s="42" t="s">
        <v>98</v>
      </c>
      <c r="I55" s="46" t="str">
        <f t="shared" si="5"/>
        <v>EPM_Practice_USA_-_PlanningApplication Developer - PLN</v>
      </c>
      <c r="J55" s="43" t="s">
        <v>96</v>
      </c>
      <c r="K55" s="42" t="s">
        <v>776</v>
      </c>
      <c r="M55" s="19" t="s">
        <v>97</v>
      </c>
      <c r="N55" s="19" t="s">
        <v>301</v>
      </c>
      <c r="O55" s="19" t="str">
        <f t="shared" si="7"/>
        <v>EPM_Practice_USA_-_PlanningPrincipal Architect</v>
      </c>
      <c r="P55" s="21">
        <v>450</v>
      </c>
      <c r="Q55" s="21">
        <v>235</v>
      </c>
      <c r="R55" s="19" t="s">
        <v>776</v>
      </c>
      <c r="S55" s="17"/>
      <c r="T55" s="45">
        <v>47299</v>
      </c>
      <c r="U55" s="19">
        <v>168</v>
      </c>
      <c r="W55" s="19" t="str">
        <v>EPM_Practice_USA_-_PlanningApplication Developer - PLN</v>
      </c>
      <c r="BO55"/>
      <c r="BP55"/>
    </row>
    <row r="56" spans="1:68" x14ac:dyDescent="0.25">
      <c r="A56" s="19" t="s">
        <v>926</v>
      </c>
      <c r="B56" s="19" t="s">
        <v>927</v>
      </c>
      <c r="C56" s="19"/>
      <c r="D56" s="19"/>
      <c r="E56" s="19"/>
      <c r="F56" s="19" t="s">
        <v>241</v>
      </c>
      <c r="G56" s="42" t="s">
        <v>97</v>
      </c>
      <c r="H56" s="42" t="s">
        <v>280</v>
      </c>
      <c r="I56" s="46" t="str">
        <f t="shared" si="5"/>
        <v>EPM_Practice_USA_-_PlanningSr. Application Developer - PLN</v>
      </c>
      <c r="J56" s="43" t="s">
        <v>96</v>
      </c>
      <c r="K56" s="42" t="s">
        <v>776</v>
      </c>
      <c r="M56" s="19" t="s">
        <v>97</v>
      </c>
      <c r="N56" s="19" t="s">
        <v>254</v>
      </c>
      <c r="O56" s="19" t="str">
        <f t="shared" si="7"/>
        <v>EPM_Practice_USA_-_PlanningIntegration Lead</v>
      </c>
      <c r="P56" s="21">
        <v>265</v>
      </c>
      <c r="Q56" s="21">
        <v>145</v>
      </c>
      <c r="R56" s="19" t="s">
        <v>776</v>
      </c>
      <c r="S56" s="17"/>
      <c r="T56" s="45">
        <v>47330</v>
      </c>
      <c r="U56" s="19">
        <v>168</v>
      </c>
      <c r="W56" s="19" t="str">
        <v>EPM_Practice_USA_-_PlanningSr. Application Developer - PLN</v>
      </c>
      <c r="BO56"/>
      <c r="BP56"/>
    </row>
    <row r="57" spans="1:68" x14ac:dyDescent="0.25">
      <c r="A57" s="19" t="s">
        <v>928</v>
      </c>
      <c r="B57" s="19" t="s">
        <v>929</v>
      </c>
      <c r="C57" s="19"/>
      <c r="D57" s="19"/>
      <c r="E57" s="19"/>
      <c r="F57" s="19" t="s">
        <v>237</v>
      </c>
      <c r="G57" s="42" t="s">
        <v>97</v>
      </c>
      <c r="H57" s="42" t="s">
        <v>291</v>
      </c>
      <c r="I57" s="46" t="str">
        <f t="shared" si="5"/>
        <v>EPM_Practice_USA_-_PlanningApplication Lead - PLN</v>
      </c>
      <c r="J57" s="43" t="s">
        <v>96</v>
      </c>
      <c r="K57" s="42" t="s">
        <v>776</v>
      </c>
      <c r="M57" s="19" t="s">
        <v>97</v>
      </c>
      <c r="N57" t="s">
        <v>337</v>
      </c>
      <c r="O57" s="19" t="str">
        <f t="shared" si="7"/>
        <v>EPM_Practice_USA_-_PlanningApplication Support Lead - EPB</v>
      </c>
      <c r="P57" s="20">
        <v>200</v>
      </c>
      <c r="Q57" s="20">
        <v>130</v>
      </c>
      <c r="R57" s="19" t="s">
        <v>776</v>
      </c>
      <c r="S57" s="17"/>
      <c r="T57" s="45">
        <v>47361</v>
      </c>
      <c r="U57" s="19">
        <v>184</v>
      </c>
      <c r="W57" s="19" t="str">
        <v>EPM_Practice_USA_-_PlanningApplication Lead - PLN</v>
      </c>
      <c r="BO57"/>
      <c r="BP57"/>
    </row>
    <row r="58" spans="1:68" x14ac:dyDescent="0.25">
      <c r="A58" s="19" t="s">
        <v>930</v>
      </c>
      <c r="B58" s="19" t="s">
        <v>931</v>
      </c>
      <c r="C58" s="19"/>
      <c r="D58" s="19"/>
      <c r="E58" s="19"/>
      <c r="F58" s="19" t="s">
        <v>294</v>
      </c>
      <c r="G58" s="42" t="s">
        <v>97</v>
      </c>
      <c r="H58" s="42" t="s">
        <v>219</v>
      </c>
      <c r="I58" s="46" t="str">
        <f t="shared" si="5"/>
        <v>EPM_Practice_USA_-_PlanningSr. Application Lead</v>
      </c>
      <c r="J58" s="43" t="s">
        <v>96</v>
      </c>
      <c r="K58" s="42" t="s">
        <v>776</v>
      </c>
      <c r="M58" s="19" t="s">
        <v>97</v>
      </c>
      <c r="N58" t="s">
        <v>921</v>
      </c>
      <c r="O58" s="19" t="str">
        <f t="shared" si="7"/>
        <v>EPM_Practice_USA_-_PlanningSr. Application Support Lead - PLN</v>
      </c>
      <c r="P58" s="20">
        <v>210</v>
      </c>
      <c r="Q58" s="20">
        <v>140</v>
      </c>
      <c r="R58" s="19" t="s">
        <v>776</v>
      </c>
      <c r="S58" s="17"/>
      <c r="T58" s="45">
        <v>47391</v>
      </c>
      <c r="U58" s="19">
        <v>152</v>
      </c>
      <c r="W58" s="19" t="str">
        <v>EPM_Practice_USA_-_PlanningSr. Application Lead</v>
      </c>
      <c r="BO58"/>
      <c r="BP58"/>
    </row>
    <row r="59" spans="1:68" x14ac:dyDescent="0.25">
      <c r="A59" s="19" t="s">
        <v>932</v>
      </c>
      <c r="B59" s="19" t="s">
        <v>933</v>
      </c>
      <c r="C59" s="19"/>
      <c r="D59" s="19"/>
      <c r="E59" s="19"/>
      <c r="F59" s="19" t="s">
        <v>504</v>
      </c>
      <c r="G59" s="42" t="s">
        <v>97</v>
      </c>
      <c r="H59" s="42" t="s">
        <v>313</v>
      </c>
      <c r="I59" s="46" t="str">
        <f t="shared" si="5"/>
        <v>EPM_Practice_USA_-_PlanningSolution Architect</v>
      </c>
      <c r="J59" s="43" t="s">
        <v>96</v>
      </c>
      <c r="K59" s="42" t="s">
        <v>776</v>
      </c>
      <c r="M59" s="19" t="s">
        <v>97</v>
      </c>
      <c r="N59" t="s">
        <v>272</v>
      </c>
      <c r="O59" s="19" t="str">
        <f t="shared" si="7"/>
        <v>EPM_Practice_USA_-_PlanningSr. Application Developer</v>
      </c>
      <c r="P59" s="20">
        <v>240</v>
      </c>
      <c r="Q59" s="20">
        <v>135</v>
      </c>
      <c r="R59" s="19" t="s">
        <v>776</v>
      </c>
      <c r="S59" s="17"/>
      <c r="T59" s="45">
        <v>47422</v>
      </c>
      <c r="U59" s="19">
        <v>184</v>
      </c>
      <c r="W59" s="19" t="str">
        <v>EPM_Practice_USA_-_PlanningSolution Architect</v>
      </c>
      <c r="BO59"/>
      <c r="BP59"/>
    </row>
    <row r="60" spans="1:68" x14ac:dyDescent="0.25">
      <c r="A60" s="19" t="s">
        <v>934</v>
      </c>
      <c r="B60" s="19" t="s">
        <v>935</v>
      </c>
      <c r="C60" s="19"/>
      <c r="D60" s="19"/>
      <c r="E60" s="19"/>
      <c r="F60" s="19" t="s">
        <v>443</v>
      </c>
      <c r="G60" s="42" t="s">
        <v>97</v>
      </c>
      <c r="H60" s="42" t="s">
        <v>274</v>
      </c>
      <c r="I60" s="46" t="str">
        <f t="shared" si="5"/>
        <v>EPM_Practice_USA_-_PlanningSolution Architect - PLN</v>
      </c>
      <c r="J60" s="43" t="s">
        <v>96</v>
      </c>
      <c r="K60" s="42" t="s">
        <v>776</v>
      </c>
      <c r="M60" s="19" t="s">
        <v>97</v>
      </c>
      <c r="N60" t="s">
        <v>98</v>
      </c>
      <c r="O60" s="19" t="str">
        <f t="shared" si="7"/>
        <v>EPM_Practice_USA_-_PlanningApplication Developer - PLN</v>
      </c>
      <c r="P60" s="20">
        <v>215</v>
      </c>
      <c r="Q60" s="20">
        <v>125</v>
      </c>
      <c r="R60" s="19" t="s">
        <v>776</v>
      </c>
      <c r="S60" s="17"/>
      <c r="T60" s="45">
        <v>47452</v>
      </c>
      <c r="U60" s="19">
        <v>160</v>
      </c>
      <c r="W60" s="19" t="str">
        <v>EPM_Practice_USA_-_PlanningSolution Architect - PLN</v>
      </c>
      <c r="BO60"/>
      <c r="BP60"/>
    </row>
    <row r="61" spans="1:68" x14ac:dyDescent="0.25">
      <c r="A61" s="19" t="s">
        <v>936</v>
      </c>
      <c r="B61" s="19" t="s">
        <v>937</v>
      </c>
      <c r="C61" s="19"/>
      <c r="D61" s="19"/>
      <c r="E61" s="19"/>
      <c r="F61" s="19" t="s">
        <v>470</v>
      </c>
      <c r="G61" s="42" t="s">
        <v>938</v>
      </c>
      <c r="H61" s="42" t="s">
        <v>219</v>
      </c>
      <c r="I61" s="46" t="str">
        <f t="shared" si="5"/>
        <v>EPM_Practice_AustraliaSr. Application Lead</v>
      </c>
      <c r="J61" s="43" t="s">
        <v>96</v>
      </c>
      <c r="K61" s="42" t="s">
        <v>939</v>
      </c>
      <c r="M61" s="19" t="s">
        <v>97</v>
      </c>
      <c r="N61" t="s">
        <v>280</v>
      </c>
      <c r="O61" s="19" t="str">
        <f t="shared" si="7"/>
        <v>EPM_Practice_USA_-_PlanningSr. Application Developer - PLN</v>
      </c>
      <c r="P61" s="20">
        <v>240</v>
      </c>
      <c r="Q61" s="20">
        <v>135</v>
      </c>
      <c r="R61" s="19" t="s">
        <v>776</v>
      </c>
      <c r="S61" s="17"/>
      <c r="T61" s="45">
        <v>47483</v>
      </c>
      <c r="U61" s="19">
        <v>160</v>
      </c>
      <c r="W61" s="19" t="str">
        <v>EPM_Practice_AustraliaSr. Application Lead</v>
      </c>
      <c r="BO61"/>
      <c r="BP61"/>
    </row>
    <row r="62" spans="1:68" x14ac:dyDescent="0.25">
      <c r="A62" s="19" t="s">
        <v>940</v>
      </c>
      <c r="B62" s="19" t="s">
        <v>941</v>
      </c>
      <c r="C62" s="19"/>
      <c r="D62" s="19"/>
      <c r="E62" s="19"/>
      <c r="F62" s="19" t="s">
        <v>376</v>
      </c>
      <c r="G62" s="42" t="s">
        <v>942</v>
      </c>
      <c r="H62" s="42" t="s">
        <v>216</v>
      </c>
      <c r="I62" s="46" t="str">
        <f t="shared" si="5"/>
        <v>EPM_Practice_Canada_ConsolidationApplication Developer</v>
      </c>
      <c r="J62" s="43" t="s">
        <v>96</v>
      </c>
      <c r="K62" s="42" t="s">
        <v>943</v>
      </c>
      <c r="M62" s="19" t="s">
        <v>97</v>
      </c>
      <c r="N62" t="s">
        <v>291</v>
      </c>
      <c r="O62" s="19" t="str">
        <f t="shared" si="7"/>
        <v>EPM_Practice_USA_-_PlanningApplication Lead - PLN</v>
      </c>
      <c r="P62" s="20">
        <v>265</v>
      </c>
      <c r="Q62" s="20">
        <v>145</v>
      </c>
      <c r="R62" s="19" t="s">
        <v>776</v>
      </c>
      <c r="S62" s="17"/>
      <c r="T62" s="45"/>
      <c r="W62" s="19" t="str">
        <v>EPM_Practice_Canada_ConsolidationApplication Developer</v>
      </c>
      <c r="BO62"/>
      <c r="BP62"/>
    </row>
    <row r="63" spans="1:68" x14ac:dyDescent="0.25">
      <c r="A63" s="19" t="s">
        <v>944</v>
      </c>
      <c r="B63" s="19" t="s">
        <v>945</v>
      </c>
      <c r="C63" s="19"/>
      <c r="D63" s="19"/>
      <c r="E63" s="19"/>
      <c r="F63" s="22" t="s">
        <v>176</v>
      </c>
      <c r="G63" s="42" t="s">
        <v>403</v>
      </c>
      <c r="H63" s="42" t="s">
        <v>200</v>
      </c>
      <c r="I63" s="46" t="str">
        <f t="shared" si="5"/>
        <v>EPM_Practice_IndiaProject Manager</v>
      </c>
      <c r="J63" s="43" t="s">
        <v>96</v>
      </c>
      <c r="K63" s="42" t="s">
        <v>946</v>
      </c>
      <c r="M63" s="19" t="s">
        <v>97</v>
      </c>
      <c r="N63" t="s">
        <v>219</v>
      </c>
      <c r="O63" s="19" t="str">
        <f t="shared" si="7"/>
        <v>EPM_Practice_USA_-_PlanningSr. Application Lead</v>
      </c>
      <c r="P63" s="20">
        <v>290</v>
      </c>
      <c r="Q63" s="20">
        <v>160</v>
      </c>
      <c r="R63" s="19" t="s">
        <v>776</v>
      </c>
      <c r="S63" s="17"/>
      <c r="T63" s="45"/>
      <c r="W63" s="19" t="str">
        <v>EPM_Practice_IndiaProject Manager</v>
      </c>
      <c r="BO63"/>
      <c r="BP63"/>
    </row>
    <row r="64" spans="1:68" x14ac:dyDescent="0.25">
      <c r="A64" s="19" t="s">
        <v>947</v>
      </c>
      <c r="B64" s="19" t="s">
        <v>948</v>
      </c>
      <c r="C64" s="19"/>
      <c r="D64" s="19"/>
      <c r="E64" s="19"/>
      <c r="F64" s="22" t="s">
        <v>177</v>
      </c>
      <c r="G64" s="42" t="s">
        <v>403</v>
      </c>
      <c r="H64" s="42" t="s">
        <v>95</v>
      </c>
      <c r="I64" s="46" t="str">
        <f t="shared" si="5"/>
        <v>EPM_Practice_IndiaSr. Project Manager</v>
      </c>
      <c r="J64" s="43" t="s">
        <v>96</v>
      </c>
      <c r="K64" s="42" t="s">
        <v>946</v>
      </c>
      <c r="M64" s="19" t="s">
        <v>97</v>
      </c>
      <c r="N64" t="s">
        <v>313</v>
      </c>
      <c r="O64" s="19" t="str">
        <f t="shared" si="7"/>
        <v>EPM_Practice_USA_-_PlanningSolution Architect</v>
      </c>
      <c r="P64" s="20">
        <v>365</v>
      </c>
      <c r="Q64" s="20">
        <v>185</v>
      </c>
      <c r="R64" s="19" t="s">
        <v>776</v>
      </c>
      <c r="S64" s="17"/>
      <c r="W64" s="19" t="str">
        <v>EPM_Practice_IndiaSr. Project Manager</v>
      </c>
      <c r="BO64"/>
      <c r="BP64"/>
    </row>
    <row r="65" spans="1:68" x14ac:dyDescent="0.25">
      <c r="A65" s="19" t="s">
        <v>949</v>
      </c>
      <c r="B65" s="19"/>
      <c r="C65" s="19"/>
      <c r="D65" s="19"/>
      <c r="E65" s="19"/>
      <c r="F65" s="22" t="s">
        <v>178</v>
      </c>
      <c r="G65" s="42" t="s">
        <v>218</v>
      </c>
      <c r="H65" s="42" t="s">
        <v>226</v>
      </c>
      <c r="I65" s="46" t="str">
        <f t="shared" si="5"/>
        <v>EPM_Practice_India_-_ConsolidationSoftware Engineer</v>
      </c>
      <c r="J65" s="43" t="s">
        <v>96</v>
      </c>
      <c r="K65" s="42" t="s">
        <v>946</v>
      </c>
      <c r="M65" s="19" t="s">
        <v>97</v>
      </c>
      <c r="N65" t="s">
        <v>274</v>
      </c>
      <c r="O65" s="19" t="str">
        <f t="shared" si="7"/>
        <v>EPM_Practice_USA_-_PlanningSolution Architect - PLN</v>
      </c>
      <c r="P65" s="20">
        <v>365</v>
      </c>
      <c r="Q65" s="20">
        <v>185</v>
      </c>
      <c r="R65" s="19" t="s">
        <v>776</v>
      </c>
      <c r="S65" s="17"/>
      <c r="W65" s="19" t="str">
        <v>EPM_Practice_India_-_ConsolidationSoftware Engineer</v>
      </c>
      <c r="BO65"/>
      <c r="BP65"/>
    </row>
    <row r="66" spans="1:68" x14ac:dyDescent="0.25">
      <c r="A66" s="19" t="s">
        <v>950</v>
      </c>
      <c r="B66" s="19"/>
      <c r="C66" s="19"/>
      <c r="D66" s="19"/>
      <c r="E66" s="19"/>
      <c r="F66" s="22" t="s">
        <v>179</v>
      </c>
      <c r="G66" s="42" t="s">
        <v>218</v>
      </c>
      <c r="H66" s="42" t="s">
        <v>219</v>
      </c>
      <c r="I66" s="46" t="str">
        <f t="shared" si="5"/>
        <v>EPM_Practice_India_-_ConsolidationSr. Application Lead</v>
      </c>
      <c r="J66" s="43" t="s">
        <v>96</v>
      </c>
      <c r="K66" s="42" t="s">
        <v>946</v>
      </c>
      <c r="M66" s="19"/>
      <c r="N66" s="19"/>
      <c r="O66" s="19" t="str">
        <f t="shared" si="7"/>
        <v/>
      </c>
      <c r="P66" s="21"/>
      <c r="Q66" s="21"/>
      <c r="R66" s="19"/>
      <c r="S66" s="17"/>
      <c r="W66" s="19" t="str">
        <v>EPM_Practice_India_-_ConsolidationSr. Application Lead</v>
      </c>
      <c r="BO66"/>
      <c r="BP66"/>
    </row>
    <row r="67" spans="1:68" x14ac:dyDescent="0.25">
      <c r="A67" s="19" t="s">
        <v>951</v>
      </c>
      <c r="B67" s="19"/>
      <c r="C67" s="19"/>
      <c r="D67" s="19"/>
      <c r="E67" s="19"/>
      <c r="F67" s="22" t="s">
        <v>180</v>
      </c>
      <c r="G67" s="42" t="s">
        <v>218</v>
      </c>
      <c r="H67" s="42" t="s">
        <v>230</v>
      </c>
      <c r="I67" s="46" t="str">
        <f t="shared" si="5"/>
        <v>EPM_Practice_India_-_ConsolidationSr. Software Engineer</v>
      </c>
      <c r="J67" s="43" t="s">
        <v>96</v>
      </c>
      <c r="K67" s="42" t="s">
        <v>946</v>
      </c>
      <c r="M67" s="19" t="s">
        <v>938</v>
      </c>
      <c r="N67" s="19" t="s">
        <v>219</v>
      </c>
      <c r="O67" s="19" t="str">
        <f t="shared" si="7"/>
        <v>EPM_Practice_AustraliaSr. Application Lead</v>
      </c>
      <c r="P67" s="21">
        <v>290</v>
      </c>
      <c r="Q67" s="21">
        <v>100</v>
      </c>
      <c r="R67" s="19" t="s">
        <v>939</v>
      </c>
      <c r="S67" s="17"/>
      <c r="W67" s="19" t="str">
        <v>EPM_Practice_India_-_ConsolidationSr. Software Engineer</v>
      </c>
      <c r="BO67"/>
      <c r="BP67"/>
    </row>
    <row r="68" spans="1:68" x14ac:dyDescent="0.25">
      <c r="A68" s="19" t="s">
        <v>952</v>
      </c>
      <c r="B68" s="19"/>
      <c r="C68" s="19"/>
      <c r="D68" s="19"/>
      <c r="E68" s="19"/>
      <c r="F68" s="22" t="s">
        <v>187</v>
      </c>
      <c r="G68" s="42" t="s">
        <v>218</v>
      </c>
      <c r="H68" s="42" t="s">
        <v>328</v>
      </c>
      <c r="I68" s="46" t="str">
        <f t="shared" si="5"/>
        <v>EPM_Practice_India_-_ConsolidationApplication Support Lead - FCC</v>
      </c>
      <c r="J68" s="43" t="s">
        <v>96</v>
      </c>
      <c r="K68" s="42" t="s">
        <v>946</v>
      </c>
      <c r="M68" s="19"/>
      <c r="N68" s="19"/>
      <c r="O68" s="19"/>
      <c r="P68" s="21"/>
      <c r="Q68" s="21"/>
      <c r="R68" s="19"/>
      <c r="S68" s="17"/>
      <c r="W68" s="19" t="str">
        <v>EPM_Practice_India_-_ConsolidationApplication Support Lead - FCC</v>
      </c>
      <c r="BO68"/>
      <c r="BP68"/>
    </row>
    <row r="69" spans="1:68" ht="30" x14ac:dyDescent="0.25">
      <c r="A69" s="19" t="s">
        <v>953</v>
      </c>
      <c r="B69" s="19"/>
      <c r="C69" s="19"/>
      <c r="D69" s="19"/>
      <c r="E69" s="19"/>
      <c r="F69" s="22" t="s">
        <v>188</v>
      </c>
      <c r="G69" s="42" t="s">
        <v>218</v>
      </c>
      <c r="H69" s="42" t="s">
        <v>331</v>
      </c>
      <c r="I69" s="46" t="str">
        <f t="shared" ref="I69:I96" si="8">_xlfn.CONCAT(G69,H69)</f>
        <v>EPM_Practice_India_-_ConsolidationSr. Application Support Lead - FCC</v>
      </c>
      <c r="J69" s="43" t="s">
        <v>96</v>
      </c>
      <c r="K69" s="42" t="s">
        <v>946</v>
      </c>
      <c r="M69" s="19" t="s">
        <v>942</v>
      </c>
      <c r="N69" s="19" t="s">
        <v>216</v>
      </c>
      <c r="O69" s="19" t="str">
        <f>_xlfn.CONCAT(M69,N69)</f>
        <v>EPM_Practice_Canada_ConsolidationApplication Developer</v>
      </c>
      <c r="P69" s="21">
        <v>215</v>
      </c>
      <c r="Q69" s="21">
        <v>125</v>
      </c>
      <c r="R69" s="19" t="s">
        <v>943</v>
      </c>
      <c r="S69" s="17"/>
      <c r="W69" s="19" t="str">
        <v>EPM_Practice_India_-_ConsolidationSr. Application Support Lead - FCC</v>
      </c>
      <c r="BO69"/>
      <c r="BP69"/>
    </row>
    <row r="70" spans="1:68" x14ac:dyDescent="0.25">
      <c r="A70" s="19" t="s">
        <v>954</v>
      </c>
      <c r="B70" s="19"/>
      <c r="C70" s="19"/>
      <c r="D70" s="19"/>
      <c r="E70" s="19"/>
      <c r="F70" s="19"/>
      <c r="G70" s="42" t="s">
        <v>218</v>
      </c>
      <c r="H70" s="42" t="s">
        <v>234</v>
      </c>
      <c r="I70" s="46" t="str">
        <f t="shared" si="8"/>
        <v>EPM_Practice_India_-_ConsolidationApplication Developer - FCC</v>
      </c>
      <c r="J70" s="43" t="s">
        <v>96</v>
      </c>
      <c r="K70" s="42" t="s">
        <v>946</v>
      </c>
      <c r="M70" s="19"/>
      <c r="N70" s="19"/>
      <c r="O70" s="19"/>
      <c r="P70" s="21"/>
      <c r="Q70" s="21"/>
      <c r="R70" s="19"/>
      <c r="S70" s="17"/>
      <c r="W70" s="19" t="str">
        <v>EPM_Practice_India_-_ConsolidationApplication Developer - FCC</v>
      </c>
      <c r="BO70"/>
      <c r="BP70"/>
    </row>
    <row r="71" spans="1:68" x14ac:dyDescent="0.25">
      <c r="A71" s="19" t="s">
        <v>955</v>
      </c>
      <c r="B71" s="19"/>
      <c r="C71" s="19"/>
      <c r="D71" s="19"/>
      <c r="E71" s="19"/>
      <c r="F71" s="19"/>
      <c r="G71" s="42" t="s">
        <v>218</v>
      </c>
      <c r="H71" s="42" t="s">
        <v>826</v>
      </c>
      <c r="I71" s="46" t="str">
        <f t="shared" si="8"/>
        <v>EPM_Practice_India_-_ConsolidationSr. Application Developer - FCC</v>
      </c>
      <c r="J71" s="43" t="s">
        <v>96</v>
      </c>
      <c r="K71" s="42" t="s">
        <v>946</v>
      </c>
      <c r="M71" s="19" t="s">
        <v>403</v>
      </c>
      <c r="N71" s="133" t="s">
        <v>200</v>
      </c>
      <c r="O71" s="19" t="str">
        <f>_xlfn.CONCAT(M71,N71)</f>
        <v>EPM_Practice_IndiaProject Manager</v>
      </c>
      <c r="P71" s="20">
        <v>45</v>
      </c>
      <c r="Q71" s="20">
        <v>22</v>
      </c>
      <c r="R71" s="19" t="s">
        <v>946</v>
      </c>
      <c r="S71" s="17"/>
      <c r="W71" s="19" t="str">
        <v>EPM_Practice_India_-_ConsolidationSr. Application Developer - FCC</v>
      </c>
      <c r="BO71"/>
      <c r="BP71"/>
    </row>
    <row r="72" spans="1:68" x14ac:dyDescent="0.25">
      <c r="A72" s="19" t="s">
        <v>956</v>
      </c>
      <c r="B72" s="19"/>
      <c r="C72" s="19"/>
      <c r="D72" s="19"/>
      <c r="E72" s="19"/>
      <c r="F72" s="19"/>
      <c r="G72" s="42" t="s">
        <v>218</v>
      </c>
      <c r="H72" s="42" t="s">
        <v>223</v>
      </c>
      <c r="I72" s="46" t="str">
        <f t="shared" si="8"/>
        <v>EPM_Practice_India_-_ConsolidationApplication Lead - FCC</v>
      </c>
      <c r="J72" s="43" t="s">
        <v>96</v>
      </c>
      <c r="K72" s="42" t="s">
        <v>946</v>
      </c>
      <c r="M72" s="19" t="s">
        <v>403</v>
      </c>
      <c r="N72" s="133" t="s">
        <v>95</v>
      </c>
      <c r="O72" s="19" t="str">
        <f>_xlfn.CONCAT(M72,N72)</f>
        <v>EPM_Practice_IndiaSr. Project Manager</v>
      </c>
      <c r="P72" s="20">
        <v>70</v>
      </c>
      <c r="Q72" s="20">
        <v>35</v>
      </c>
      <c r="R72" s="19" t="s">
        <v>946</v>
      </c>
      <c r="S72" s="17"/>
      <c r="W72" s="19" t="str">
        <v>EPM_Practice_India_-_ConsolidationApplication Lead - FCC</v>
      </c>
      <c r="BO72"/>
      <c r="BP72"/>
    </row>
    <row r="73" spans="1:68" x14ac:dyDescent="0.25">
      <c r="A73" s="19" t="s">
        <v>957</v>
      </c>
      <c r="B73" s="19"/>
      <c r="C73" s="19"/>
      <c r="D73" s="19"/>
      <c r="E73" s="19"/>
      <c r="F73" s="19"/>
      <c r="G73" s="42" t="s">
        <v>218</v>
      </c>
      <c r="H73" s="42" t="s">
        <v>221</v>
      </c>
      <c r="I73" s="46" t="str">
        <f t="shared" si="8"/>
        <v>EPM_Practice_India_-_ConsolidationSr. Application Lead - FCC</v>
      </c>
      <c r="J73" s="43" t="s">
        <v>96</v>
      </c>
      <c r="K73" s="42" t="s">
        <v>946</v>
      </c>
      <c r="M73" s="19"/>
      <c r="N73" s="19"/>
      <c r="O73" s="19"/>
      <c r="P73" s="21"/>
      <c r="Q73" s="21"/>
      <c r="R73" s="19"/>
      <c r="S73" s="17"/>
      <c r="W73" s="19" t="str">
        <v>EPM_Practice_India_-_ConsolidationSr. Application Lead - FCC</v>
      </c>
      <c r="BO73"/>
      <c r="BP73"/>
    </row>
    <row r="74" spans="1:68" x14ac:dyDescent="0.25">
      <c r="A74" s="19" t="s">
        <v>958</v>
      </c>
      <c r="B74" s="19"/>
      <c r="C74" s="19"/>
      <c r="D74" s="19"/>
      <c r="E74" s="19"/>
      <c r="F74" s="19"/>
      <c r="G74" s="42" t="s">
        <v>218</v>
      </c>
      <c r="H74" s="42" t="s">
        <v>309</v>
      </c>
      <c r="I74" s="46" t="str">
        <f t="shared" si="8"/>
        <v>EPM_Practice_India_-_ConsolidationSolution Architect - FCC</v>
      </c>
      <c r="J74" s="43" t="s">
        <v>96</v>
      </c>
      <c r="K74" s="42" t="s">
        <v>946</v>
      </c>
      <c r="M74" s="19" t="s">
        <v>218</v>
      </c>
      <c r="N74" s="19" t="s">
        <v>226</v>
      </c>
      <c r="O74" s="19" t="str">
        <f t="shared" ref="O74:O84" si="9">_xlfn.CONCAT(M74,N74)</f>
        <v>EPM_Practice_India_-_ConsolidationSoftware Engineer</v>
      </c>
      <c r="P74" s="21">
        <v>35</v>
      </c>
      <c r="Q74" s="21">
        <v>11</v>
      </c>
      <c r="R74" s="19" t="s">
        <v>946</v>
      </c>
      <c r="S74" s="17"/>
      <c r="W74" s="19" t="str">
        <v>EPM_Practice_India_-_ConsolidationSolution Architect - FCC</v>
      </c>
      <c r="BO74"/>
      <c r="BP74"/>
    </row>
    <row r="75" spans="1:68" x14ac:dyDescent="0.25">
      <c r="A75" s="19" t="s">
        <v>959</v>
      </c>
      <c r="B75" s="19"/>
      <c r="C75" s="19"/>
      <c r="D75" s="19"/>
      <c r="E75" s="19"/>
      <c r="F75" s="19"/>
      <c r="G75" s="42" t="s">
        <v>218</v>
      </c>
      <c r="H75" s="42" t="s">
        <v>237</v>
      </c>
      <c r="I75" s="46" t="str">
        <f t="shared" si="8"/>
        <v>EPM_Practice_India_-_ConsolidationSr. Solution Architect - FCC</v>
      </c>
      <c r="J75" s="43" t="s">
        <v>96</v>
      </c>
      <c r="K75" s="42" t="s">
        <v>946</v>
      </c>
      <c r="M75" s="19" t="s">
        <v>218</v>
      </c>
      <c r="N75" s="19" t="s">
        <v>219</v>
      </c>
      <c r="O75" s="19" t="str">
        <f t="shared" si="9"/>
        <v>EPM_Practice_India_-_ConsolidationSr. Application Lead</v>
      </c>
      <c r="P75" s="21">
        <v>85</v>
      </c>
      <c r="Q75" s="21">
        <v>27</v>
      </c>
      <c r="R75" s="19" t="s">
        <v>946</v>
      </c>
      <c r="S75" s="17"/>
      <c r="W75" s="19" t="str">
        <v>EPM_Practice_India_-_ConsolidationSr. Solution Architect - FCC</v>
      </c>
      <c r="BO75"/>
      <c r="BP75"/>
    </row>
    <row r="76" spans="1:68" x14ac:dyDescent="0.25">
      <c r="A76" s="19" t="s">
        <v>960</v>
      </c>
      <c r="B76" s="19"/>
      <c r="C76" s="19"/>
      <c r="D76" s="19"/>
      <c r="E76" s="19"/>
      <c r="F76" s="19"/>
      <c r="G76" s="42" t="s">
        <v>240</v>
      </c>
      <c r="H76" s="42" t="s">
        <v>230</v>
      </c>
      <c r="I76" s="46" t="str">
        <f t="shared" si="8"/>
        <v>EPM_Practice_India_-_IntegrationSr. Software Engineer</v>
      </c>
      <c r="J76" s="43" t="s">
        <v>96</v>
      </c>
      <c r="K76" s="42" t="s">
        <v>946</v>
      </c>
      <c r="M76" s="19" t="s">
        <v>218</v>
      </c>
      <c r="N76" s="19" t="s">
        <v>230</v>
      </c>
      <c r="O76" s="19" t="str">
        <f t="shared" si="9"/>
        <v>EPM_Practice_India_-_ConsolidationSr. Software Engineer</v>
      </c>
      <c r="P76" s="21">
        <v>45</v>
      </c>
      <c r="Q76" s="21">
        <v>13</v>
      </c>
      <c r="R76" s="19" t="s">
        <v>946</v>
      </c>
      <c r="S76" s="17"/>
      <c r="W76" s="19" t="str">
        <v>EPM_Practice_India_-_IntegrationSr. Software Engineer</v>
      </c>
      <c r="BO76"/>
      <c r="BP76"/>
    </row>
    <row r="77" spans="1:68" x14ac:dyDescent="0.25">
      <c r="A77" s="19" t="s">
        <v>961</v>
      </c>
      <c r="B77" s="19"/>
      <c r="C77" s="19"/>
      <c r="D77" s="19"/>
      <c r="E77" s="19"/>
      <c r="F77" s="19"/>
      <c r="G77" s="42" t="s">
        <v>240</v>
      </c>
      <c r="H77" s="42" t="s">
        <v>226</v>
      </c>
      <c r="I77" s="46" t="str">
        <f t="shared" si="8"/>
        <v>EPM_Practice_India_-_IntegrationSoftware Engineer</v>
      </c>
      <c r="J77" s="43" t="s">
        <v>96</v>
      </c>
      <c r="K77" s="42" t="s">
        <v>946</v>
      </c>
      <c r="M77" s="19" t="s">
        <v>218</v>
      </c>
      <c r="N77" t="s">
        <v>328</v>
      </c>
      <c r="O77" s="19" t="str">
        <f t="shared" si="9"/>
        <v>EPM_Practice_India_-_ConsolidationApplication Support Lead - FCC</v>
      </c>
      <c r="P77" s="20">
        <v>40</v>
      </c>
      <c r="Q77" s="20">
        <v>17</v>
      </c>
      <c r="R77" s="19" t="s">
        <v>946</v>
      </c>
      <c r="S77" s="17"/>
      <c r="W77" s="19" t="str">
        <v>EPM_Practice_India_-_IntegrationSoftware Engineer</v>
      </c>
      <c r="BO77"/>
      <c r="BP77"/>
    </row>
    <row r="78" spans="1:68" x14ac:dyDescent="0.25">
      <c r="A78" s="19" t="s">
        <v>962</v>
      </c>
      <c r="B78" s="19"/>
      <c r="C78" s="19"/>
      <c r="D78" s="19"/>
      <c r="E78" s="19"/>
      <c r="F78" s="19"/>
      <c r="G78" s="42" t="s">
        <v>240</v>
      </c>
      <c r="H78" s="42" t="s">
        <v>254</v>
      </c>
      <c r="I78" s="46" t="str">
        <f t="shared" si="8"/>
        <v>EPM_Practice_India_-_IntegrationIntegration Lead</v>
      </c>
      <c r="J78" s="43" t="s">
        <v>96</v>
      </c>
      <c r="K78" s="42" t="s">
        <v>946</v>
      </c>
      <c r="M78" s="19" t="s">
        <v>218</v>
      </c>
      <c r="N78" t="s">
        <v>331</v>
      </c>
      <c r="O78" s="19" t="str">
        <f t="shared" si="9"/>
        <v>EPM_Practice_India_-_ConsolidationSr. Application Support Lead - FCC</v>
      </c>
      <c r="P78" s="20">
        <v>50</v>
      </c>
      <c r="Q78" s="20">
        <v>22</v>
      </c>
      <c r="R78" s="19" t="s">
        <v>946</v>
      </c>
      <c r="S78" s="17"/>
      <c r="W78" s="19" t="str">
        <v>EPM_Practice_India_-_IntegrationIntegration Lead</v>
      </c>
      <c r="BO78"/>
      <c r="BP78"/>
    </row>
    <row r="79" spans="1:68" x14ac:dyDescent="0.25">
      <c r="A79" s="19" t="s">
        <v>963</v>
      </c>
      <c r="B79" s="19"/>
      <c r="C79" s="19"/>
      <c r="D79" s="19"/>
      <c r="E79" s="19"/>
      <c r="F79" s="19"/>
      <c r="G79" s="42" t="s">
        <v>240</v>
      </c>
      <c r="H79" s="42" t="s">
        <v>259</v>
      </c>
      <c r="I79" s="46" t="str">
        <f t="shared" si="8"/>
        <v>EPM_Practice_India_-_IntegrationSr. Integration Developer</v>
      </c>
      <c r="J79" s="43" t="s">
        <v>96</v>
      </c>
      <c r="K79" s="42" t="s">
        <v>946</v>
      </c>
      <c r="M79" s="19" t="s">
        <v>218</v>
      </c>
      <c r="N79" t="s">
        <v>234</v>
      </c>
      <c r="O79" s="19" t="str">
        <f t="shared" si="9"/>
        <v>EPM_Practice_India_-_ConsolidationApplication Developer - FCC</v>
      </c>
      <c r="P79" s="20">
        <v>55</v>
      </c>
      <c r="Q79" s="20">
        <v>15</v>
      </c>
      <c r="R79" s="19" t="s">
        <v>946</v>
      </c>
      <c r="S79" s="17"/>
      <c r="W79" s="19" t="str">
        <v>EPM_Practice_India_-_IntegrationSr. Integration Developer</v>
      </c>
      <c r="BO79"/>
      <c r="BP79"/>
    </row>
    <row r="80" spans="1:68" x14ac:dyDescent="0.25">
      <c r="A80" s="19" t="s">
        <v>964</v>
      </c>
      <c r="B80" s="19"/>
      <c r="C80" s="19"/>
      <c r="D80" s="19"/>
      <c r="E80" s="19"/>
      <c r="F80" s="19"/>
      <c r="G80" s="42" t="s">
        <v>240</v>
      </c>
      <c r="H80" s="42" t="s">
        <v>267</v>
      </c>
      <c r="I80" s="46" t="str">
        <f t="shared" si="8"/>
        <v>EPM_Practice_India_-_IntegrationSr. Integration Lead</v>
      </c>
      <c r="J80" s="43" t="s">
        <v>96</v>
      </c>
      <c r="K80" s="42" t="s">
        <v>946</v>
      </c>
      <c r="M80" s="19" t="s">
        <v>218</v>
      </c>
      <c r="N80" t="s">
        <v>826</v>
      </c>
      <c r="O80" s="19" t="str">
        <f t="shared" si="9"/>
        <v>EPM_Practice_India_-_ConsolidationSr. Application Developer - FCC</v>
      </c>
      <c r="P80" s="20">
        <v>65</v>
      </c>
      <c r="Q80" s="20">
        <v>17</v>
      </c>
      <c r="R80" s="19" t="s">
        <v>946</v>
      </c>
      <c r="S80" s="17"/>
      <c r="W80" s="19" t="str">
        <v>EPM_Practice_India_-_IntegrationSr. Integration Lead</v>
      </c>
      <c r="BO80"/>
      <c r="BP80"/>
    </row>
    <row r="81" spans="1:68" x14ac:dyDescent="0.25">
      <c r="A81" s="19" t="s">
        <v>965</v>
      </c>
      <c r="B81" s="19"/>
      <c r="C81" s="19"/>
      <c r="D81" s="19"/>
      <c r="E81" s="19"/>
      <c r="F81" s="19"/>
      <c r="G81" s="42" t="s">
        <v>240</v>
      </c>
      <c r="H81" s="42" t="s">
        <v>261</v>
      </c>
      <c r="I81" s="46" t="str">
        <f t="shared" si="8"/>
        <v>EPM_Practice_India_-_IntegrationApplication Developer - DI</v>
      </c>
      <c r="J81" s="43" t="s">
        <v>96</v>
      </c>
      <c r="K81" s="42" t="s">
        <v>946</v>
      </c>
      <c r="M81" s="19" t="s">
        <v>218</v>
      </c>
      <c r="N81" t="s">
        <v>223</v>
      </c>
      <c r="O81" s="19" t="str">
        <f t="shared" si="9"/>
        <v>EPM_Practice_India_-_ConsolidationApplication Lead - FCC</v>
      </c>
      <c r="P81" s="20">
        <v>75</v>
      </c>
      <c r="Q81" s="20">
        <v>22</v>
      </c>
      <c r="R81" s="19" t="s">
        <v>946</v>
      </c>
      <c r="S81" s="17"/>
      <c r="W81" s="19" t="str">
        <v>EPM_Practice_India_-_IntegrationApplication Developer - DI</v>
      </c>
      <c r="BO81"/>
      <c r="BP81"/>
    </row>
    <row r="82" spans="1:68" x14ac:dyDescent="0.25">
      <c r="A82" s="19" t="s">
        <v>966</v>
      </c>
      <c r="B82" s="19"/>
      <c r="C82" s="19"/>
      <c r="D82" s="19"/>
      <c r="E82" s="19"/>
      <c r="F82" s="19"/>
      <c r="G82" s="42" t="s">
        <v>240</v>
      </c>
      <c r="H82" s="42" t="s">
        <v>864</v>
      </c>
      <c r="I82" s="46" t="str">
        <f t="shared" si="8"/>
        <v>EPM_Practice_India_-_IntegrationApplication Lead - DI</v>
      </c>
      <c r="J82" s="207" t="s">
        <v>96</v>
      </c>
      <c r="K82" s="42" t="s">
        <v>946</v>
      </c>
      <c r="M82" s="19" t="s">
        <v>218</v>
      </c>
      <c r="N82" t="s">
        <v>221</v>
      </c>
      <c r="O82" s="19" t="str">
        <f t="shared" si="9"/>
        <v>EPM_Practice_India_-_ConsolidationSr. Application Lead - FCC</v>
      </c>
      <c r="P82" s="20">
        <v>85</v>
      </c>
      <c r="Q82" s="20">
        <v>27</v>
      </c>
      <c r="R82" s="19" t="s">
        <v>946</v>
      </c>
      <c r="S82" s="17"/>
      <c r="W82" s="19" t="str">
        <v>EPM_Practice_India_-_IntegrationApplication Lead - DI</v>
      </c>
      <c r="BO82"/>
      <c r="BP82"/>
    </row>
    <row r="83" spans="1:68" x14ac:dyDescent="0.25">
      <c r="A83" s="19" t="s">
        <v>967</v>
      </c>
      <c r="B83" s="19"/>
      <c r="C83" s="19"/>
      <c r="D83" s="19"/>
      <c r="E83" s="19"/>
      <c r="F83" s="19"/>
      <c r="G83" s="42" t="s">
        <v>240</v>
      </c>
      <c r="H83" s="42" t="s">
        <v>257</v>
      </c>
      <c r="I83" s="46" t="str">
        <f t="shared" si="8"/>
        <v>EPM_Practice_India_-_IntegrationSr. Application Developer - DI</v>
      </c>
      <c r="J83" s="207" t="s">
        <v>96</v>
      </c>
      <c r="K83" s="42" t="s">
        <v>946</v>
      </c>
      <c r="M83" s="19" t="s">
        <v>218</v>
      </c>
      <c r="N83" t="s">
        <v>309</v>
      </c>
      <c r="O83" s="19" t="str">
        <f t="shared" si="9"/>
        <v>EPM_Practice_India_-_ConsolidationSolution Architect - FCC</v>
      </c>
      <c r="P83" s="20">
        <v>95</v>
      </c>
      <c r="Q83" s="20">
        <v>32</v>
      </c>
      <c r="R83" s="19" t="s">
        <v>946</v>
      </c>
      <c r="S83" s="17"/>
      <c r="W83" s="19" t="str">
        <v>EPM_Practice_India_-_IntegrationSr. Application Developer - DI</v>
      </c>
      <c r="BO83"/>
      <c r="BP83"/>
    </row>
    <row r="84" spans="1:68" x14ac:dyDescent="0.25">
      <c r="A84" s="19" t="s">
        <v>968</v>
      </c>
      <c r="B84" s="19"/>
      <c r="C84" s="19"/>
      <c r="D84" s="19"/>
      <c r="E84" s="19"/>
      <c r="F84" s="19"/>
      <c r="G84" s="42" t="s">
        <v>240</v>
      </c>
      <c r="H84" s="42" t="s">
        <v>246</v>
      </c>
      <c r="I84" s="46" t="str">
        <f t="shared" si="8"/>
        <v>EPM_Practice_India_-_IntegrationSolution Architect - DI</v>
      </c>
      <c r="J84" s="207" t="s">
        <v>96</v>
      </c>
      <c r="K84" s="42" t="s">
        <v>946</v>
      </c>
      <c r="M84" s="19" t="s">
        <v>218</v>
      </c>
      <c r="N84" t="s">
        <v>237</v>
      </c>
      <c r="O84" s="19" t="str">
        <f t="shared" si="9"/>
        <v>EPM_Practice_India_-_ConsolidationSr. Solution Architect - FCC</v>
      </c>
      <c r="P84" s="20">
        <v>150</v>
      </c>
      <c r="Q84" s="20">
        <v>45</v>
      </c>
      <c r="R84" s="19" t="s">
        <v>946</v>
      </c>
      <c r="S84" s="17"/>
      <c r="W84" s="19" t="str">
        <v>EPM_Practice_India_-_IntegrationSolution Architect - DI</v>
      </c>
      <c r="BO84"/>
      <c r="BP84"/>
    </row>
    <row r="85" spans="1:68" x14ac:dyDescent="0.25">
      <c r="A85" s="19" t="s">
        <v>969</v>
      </c>
      <c r="B85" s="19"/>
      <c r="C85" s="19"/>
      <c r="D85" s="19"/>
      <c r="E85" s="19"/>
      <c r="F85" s="19"/>
      <c r="G85" s="42" t="s">
        <v>269</v>
      </c>
      <c r="H85" s="42" t="s">
        <v>241</v>
      </c>
      <c r="I85" s="46" t="str">
        <f t="shared" si="8"/>
        <v>EPM_Practice_India_-_PlanningSr. Solution Architect</v>
      </c>
      <c r="J85" s="207" t="s">
        <v>96</v>
      </c>
      <c r="K85" s="42" t="s">
        <v>946</v>
      </c>
      <c r="M85" s="19"/>
      <c r="N85" s="19"/>
      <c r="O85" s="19"/>
      <c r="P85" s="21"/>
      <c r="Q85" s="21"/>
      <c r="R85" s="19"/>
      <c r="S85" s="17"/>
      <c r="W85" s="19" t="str">
        <v>EPM_Practice_India_-_PlanningSr. Solution Architect</v>
      </c>
      <c r="BO85"/>
      <c r="BP85"/>
    </row>
    <row r="86" spans="1:68" x14ac:dyDescent="0.25">
      <c r="A86" s="19" t="s">
        <v>970</v>
      </c>
      <c r="B86" s="19"/>
      <c r="C86" s="19"/>
      <c r="D86" s="19"/>
      <c r="E86" s="19"/>
      <c r="F86" s="19"/>
      <c r="G86" s="42" t="s">
        <v>269</v>
      </c>
      <c r="H86" s="42" t="s">
        <v>226</v>
      </c>
      <c r="I86" s="46" t="str">
        <f t="shared" si="8"/>
        <v>EPM_Practice_India_-_PlanningSoftware Engineer</v>
      </c>
      <c r="J86" s="207" t="s">
        <v>96</v>
      </c>
      <c r="K86" s="42" t="s">
        <v>946</v>
      </c>
      <c r="M86" s="19" t="s">
        <v>240</v>
      </c>
      <c r="N86" s="19" t="s">
        <v>230</v>
      </c>
      <c r="O86" s="19" t="str">
        <f t="shared" ref="O86:O94" si="10">_xlfn.CONCAT(M86,N86)</f>
        <v>EPM_Practice_India_-_IntegrationSr. Software Engineer</v>
      </c>
      <c r="P86" s="21">
        <v>45</v>
      </c>
      <c r="Q86" s="21">
        <v>13</v>
      </c>
      <c r="R86" s="19" t="s">
        <v>946</v>
      </c>
      <c r="S86" s="17"/>
      <c r="W86" s="19" t="str">
        <v>EPM_Practice_India_-_PlanningSoftware Engineer</v>
      </c>
      <c r="BO86"/>
      <c r="BP86"/>
    </row>
    <row r="87" spans="1:68" x14ac:dyDescent="0.25">
      <c r="A87" s="19" t="s">
        <v>971</v>
      </c>
      <c r="B87" s="19"/>
      <c r="C87" s="19"/>
      <c r="D87" s="19"/>
      <c r="E87" s="19"/>
      <c r="F87" s="19"/>
      <c r="G87" s="42" t="s">
        <v>269</v>
      </c>
      <c r="H87" s="42" t="s">
        <v>230</v>
      </c>
      <c r="I87" s="46" t="str">
        <f t="shared" si="8"/>
        <v>EPM_Practice_India_-_PlanningSr. Software Engineer</v>
      </c>
      <c r="J87" s="207" t="s">
        <v>96</v>
      </c>
      <c r="K87" s="42" t="s">
        <v>946</v>
      </c>
      <c r="M87" s="19" t="s">
        <v>240</v>
      </c>
      <c r="N87" s="19" t="s">
        <v>226</v>
      </c>
      <c r="O87" s="19" t="str">
        <f t="shared" si="10"/>
        <v>EPM_Practice_India_-_IntegrationSoftware Engineer</v>
      </c>
      <c r="P87" s="21">
        <v>35</v>
      </c>
      <c r="Q87" s="21">
        <v>11</v>
      </c>
      <c r="R87" s="19" t="s">
        <v>946</v>
      </c>
      <c r="S87" s="17"/>
      <c r="W87" s="19" t="str">
        <v>EPM_Practice_India_-_PlanningSr. Software Engineer</v>
      </c>
      <c r="BO87"/>
      <c r="BP87"/>
    </row>
    <row r="88" spans="1:68" x14ac:dyDescent="0.25">
      <c r="A88" s="19" t="s">
        <v>972</v>
      </c>
      <c r="B88" s="19"/>
      <c r="C88" s="19"/>
      <c r="D88" s="19"/>
      <c r="E88" s="19"/>
      <c r="F88" s="19"/>
      <c r="G88" s="42" t="s">
        <v>269</v>
      </c>
      <c r="H88" s="42" t="s">
        <v>272</v>
      </c>
      <c r="I88" s="46" t="str">
        <f t="shared" si="8"/>
        <v>EPM_Practice_India_-_PlanningSr. Application Developer</v>
      </c>
      <c r="J88" s="207" t="s">
        <v>96</v>
      </c>
      <c r="K88" s="42" t="s">
        <v>946</v>
      </c>
      <c r="M88" s="19" t="s">
        <v>240</v>
      </c>
      <c r="N88" s="19" t="s">
        <v>254</v>
      </c>
      <c r="O88" s="19" t="str">
        <f t="shared" si="10"/>
        <v>EPM_Practice_India_-_IntegrationIntegration Lead</v>
      </c>
      <c r="P88" s="21">
        <v>75</v>
      </c>
      <c r="Q88" s="21">
        <v>22</v>
      </c>
      <c r="R88" s="19" t="s">
        <v>946</v>
      </c>
      <c r="S88" s="17"/>
      <c r="W88" s="19" t="str">
        <v>EPM_Practice_India_-_PlanningSr. Application Developer</v>
      </c>
      <c r="BO88"/>
      <c r="BP88"/>
    </row>
    <row r="89" spans="1:68" x14ac:dyDescent="0.25">
      <c r="A89" s="19" t="s">
        <v>973</v>
      </c>
      <c r="B89" s="19"/>
      <c r="C89" s="19"/>
      <c r="D89" s="19"/>
      <c r="E89" s="19"/>
      <c r="F89" s="19"/>
      <c r="G89" s="42" t="s">
        <v>269</v>
      </c>
      <c r="H89" s="42" t="s">
        <v>886</v>
      </c>
      <c r="I89" s="46" t="str">
        <f t="shared" si="8"/>
        <v>EPM_Practice_India_-_PlanningApplication Support Lead - PLN</v>
      </c>
      <c r="J89" s="207" t="s">
        <v>96</v>
      </c>
      <c r="K89" s="42" t="s">
        <v>946</v>
      </c>
      <c r="M89" s="19" t="s">
        <v>240</v>
      </c>
      <c r="N89" s="19" t="s">
        <v>259</v>
      </c>
      <c r="O89" s="19" t="str">
        <f t="shared" si="10"/>
        <v>EPM_Practice_India_-_IntegrationSr. Integration Developer</v>
      </c>
      <c r="P89" s="21">
        <v>65</v>
      </c>
      <c r="Q89" s="21">
        <v>17</v>
      </c>
      <c r="R89" s="19" t="s">
        <v>946</v>
      </c>
      <c r="S89" s="17"/>
      <c r="W89" s="19" t="str">
        <v>EPM_Practice_India_-_PlanningApplication Support Lead - PLN</v>
      </c>
      <c r="BO89"/>
      <c r="BP89"/>
    </row>
    <row r="90" spans="1:68" ht="30" x14ac:dyDescent="0.25">
      <c r="A90" s="19" t="s">
        <v>974</v>
      </c>
      <c r="B90" s="19"/>
      <c r="C90" s="19"/>
      <c r="D90" s="19"/>
      <c r="E90" s="19"/>
      <c r="F90" s="19"/>
      <c r="G90" s="42" t="s">
        <v>269</v>
      </c>
      <c r="H90" s="42" t="s">
        <v>921</v>
      </c>
      <c r="I90" s="46" t="str">
        <f t="shared" si="8"/>
        <v>EPM_Practice_India_-_PlanningSr. Application Support Lead - PLN</v>
      </c>
      <c r="J90" s="207" t="s">
        <v>96</v>
      </c>
      <c r="K90" s="42" t="s">
        <v>946</v>
      </c>
      <c r="M90" s="19" t="s">
        <v>240</v>
      </c>
      <c r="N90" s="19" t="s">
        <v>267</v>
      </c>
      <c r="O90" s="19" t="str">
        <f t="shared" si="10"/>
        <v>EPM_Practice_India_-_IntegrationSr. Integration Lead</v>
      </c>
      <c r="P90" s="21">
        <v>95</v>
      </c>
      <c r="Q90" s="21">
        <v>30</v>
      </c>
      <c r="R90" s="19" t="s">
        <v>946</v>
      </c>
      <c r="S90" s="17"/>
      <c r="W90" s="19" t="str">
        <v>EPM_Practice_India_-_PlanningSr. Application Support Lead - PLN</v>
      </c>
      <c r="BO90"/>
      <c r="BP90"/>
    </row>
    <row r="91" spans="1:68" x14ac:dyDescent="0.25">
      <c r="A91" s="19" t="s">
        <v>975</v>
      </c>
      <c r="B91" s="19"/>
      <c r="C91" s="19"/>
      <c r="D91" s="19"/>
      <c r="E91" s="19"/>
      <c r="F91" s="19"/>
      <c r="G91" s="42" t="s">
        <v>269</v>
      </c>
      <c r="H91" s="42" t="s">
        <v>98</v>
      </c>
      <c r="I91" s="46" t="str">
        <f t="shared" si="8"/>
        <v>EPM_Practice_India_-_PlanningApplication Developer - PLN</v>
      </c>
      <c r="J91" s="207" t="s">
        <v>96</v>
      </c>
      <c r="K91" s="42" t="s">
        <v>946</v>
      </c>
      <c r="M91" s="19" t="s">
        <v>240</v>
      </c>
      <c r="N91" t="s">
        <v>261</v>
      </c>
      <c r="O91" s="19" t="str">
        <f t="shared" si="10"/>
        <v>EPM_Practice_India_-_IntegrationApplication Developer - DI</v>
      </c>
      <c r="P91" s="20">
        <v>55</v>
      </c>
      <c r="Q91" s="20">
        <v>15</v>
      </c>
      <c r="R91" s="19" t="s">
        <v>946</v>
      </c>
      <c r="S91" s="17"/>
      <c r="W91" s="19" t="str">
        <v>EPM_Practice_India_-_PlanningApplication Developer - PLN</v>
      </c>
      <c r="BO91"/>
      <c r="BP91"/>
    </row>
    <row r="92" spans="1:68" x14ac:dyDescent="0.25">
      <c r="A92" s="19" t="s">
        <v>976</v>
      </c>
      <c r="B92" s="19"/>
      <c r="C92" s="19"/>
      <c r="D92" s="19"/>
      <c r="E92" s="19"/>
      <c r="F92" s="19"/>
      <c r="G92" s="42" t="s">
        <v>269</v>
      </c>
      <c r="H92" s="42" t="s">
        <v>280</v>
      </c>
      <c r="I92" s="46" t="str">
        <f t="shared" si="8"/>
        <v>EPM_Practice_India_-_PlanningSr. Application Developer - PLN</v>
      </c>
      <c r="J92" s="207" t="s">
        <v>96</v>
      </c>
      <c r="K92" s="42" t="s">
        <v>946</v>
      </c>
      <c r="M92" s="19" t="s">
        <v>240</v>
      </c>
      <c r="N92" t="s">
        <v>864</v>
      </c>
      <c r="O92" s="19" t="str">
        <f t="shared" si="10"/>
        <v>EPM_Practice_India_-_IntegrationApplication Lead - DI</v>
      </c>
      <c r="P92" s="20">
        <v>75</v>
      </c>
      <c r="Q92" s="20">
        <v>22</v>
      </c>
      <c r="R92" s="19" t="s">
        <v>946</v>
      </c>
      <c r="S92" s="17"/>
      <c r="W92" s="19" t="str">
        <v>EPM_Practice_India_-_PlanningSr. Application Developer - PLN</v>
      </c>
      <c r="BO92"/>
      <c r="BP92"/>
    </row>
    <row r="93" spans="1:68" x14ac:dyDescent="0.25">
      <c r="A93" s="19" t="s">
        <v>977</v>
      </c>
      <c r="B93" s="19"/>
      <c r="C93" s="19"/>
      <c r="D93" s="19"/>
      <c r="E93" s="19"/>
      <c r="F93" s="19"/>
      <c r="G93" s="42" t="s">
        <v>269</v>
      </c>
      <c r="H93" s="42" t="s">
        <v>291</v>
      </c>
      <c r="I93" s="46" t="str">
        <f t="shared" si="8"/>
        <v>EPM_Practice_India_-_PlanningApplication Lead - PLN</v>
      </c>
      <c r="J93" s="207" t="s">
        <v>96</v>
      </c>
      <c r="K93" s="42" t="s">
        <v>946</v>
      </c>
      <c r="M93" s="19" t="s">
        <v>240</v>
      </c>
      <c r="N93" t="s">
        <v>257</v>
      </c>
      <c r="O93" s="19" t="str">
        <f t="shared" si="10"/>
        <v>EPM_Practice_India_-_IntegrationSr. Application Developer - DI</v>
      </c>
      <c r="P93" s="20">
        <v>65</v>
      </c>
      <c r="Q93" s="20">
        <v>17</v>
      </c>
      <c r="R93" s="19" t="s">
        <v>946</v>
      </c>
      <c r="S93" s="17"/>
      <c r="W93" s="19" t="str">
        <v>EPM_Practice_India_-_PlanningApplication Lead - PLN</v>
      </c>
      <c r="BO93"/>
      <c r="BP93"/>
    </row>
    <row r="94" spans="1:68" x14ac:dyDescent="0.25">
      <c r="A94" s="19" t="s">
        <v>978</v>
      </c>
      <c r="B94" s="19"/>
      <c r="C94" s="19"/>
      <c r="D94" s="19"/>
      <c r="E94" s="19"/>
      <c r="F94" s="19"/>
      <c r="G94" s="42" t="s">
        <v>269</v>
      </c>
      <c r="H94" s="42" t="s">
        <v>270</v>
      </c>
      <c r="I94" s="46" t="str">
        <f t="shared" si="8"/>
        <v>EPM_Practice_India_-_PlanningSr. Application Lead - PLN</v>
      </c>
      <c r="J94" s="207" t="s">
        <v>96</v>
      </c>
      <c r="K94" s="42" t="s">
        <v>946</v>
      </c>
      <c r="M94" s="19" t="s">
        <v>240</v>
      </c>
      <c r="N94" t="s">
        <v>246</v>
      </c>
      <c r="O94" s="19" t="str">
        <f t="shared" si="10"/>
        <v>EPM_Practice_India_-_IntegrationSolution Architect - DI</v>
      </c>
      <c r="P94" s="20">
        <v>95</v>
      </c>
      <c r="Q94" s="20">
        <v>32</v>
      </c>
      <c r="R94" s="19" t="s">
        <v>946</v>
      </c>
      <c r="S94" s="17"/>
      <c r="W94" s="19" t="str">
        <v>EPM_Practice_India_-_PlanningSr. Application Lead - PLN</v>
      </c>
      <c r="BO94"/>
      <c r="BP94"/>
    </row>
    <row r="95" spans="1:68" x14ac:dyDescent="0.25">
      <c r="A95" s="19" t="s">
        <v>979</v>
      </c>
      <c r="B95" s="19"/>
      <c r="C95" s="19"/>
      <c r="D95" s="19"/>
      <c r="E95" s="19"/>
      <c r="F95" s="19"/>
      <c r="G95" s="42" t="s">
        <v>269</v>
      </c>
      <c r="H95" s="42" t="s">
        <v>274</v>
      </c>
      <c r="I95" s="46" t="str">
        <f t="shared" si="8"/>
        <v>EPM_Practice_India_-_PlanningSolution Architect - PLN</v>
      </c>
      <c r="J95" s="207" t="s">
        <v>96</v>
      </c>
      <c r="K95" s="42" t="s">
        <v>946</v>
      </c>
      <c r="M95" s="19"/>
      <c r="N95" s="19"/>
      <c r="O95" s="19"/>
      <c r="P95" s="21"/>
      <c r="Q95" s="21"/>
      <c r="R95" s="19"/>
      <c r="S95" s="17"/>
      <c r="W95" s="19" t="str">
        <v>EPM_Practice_India_-_PlanningSolution Architect - PLN</v>
      </c>
      <c r="BO95"/>
      <c r="BP95"/>
    </row>
    <row r="96" spans="1:68" x14ac:dyDescent="0.25">
      <c r="A96" s="19" t="s">
        <v>980</v>
      </c>
      <c r="B96" s="19"/>
      <c r="C96" s="19"/>
      <c r="D96" s="19"/>
      <c r="E96" s="19"/>
      <c r="F96" s="19"/>
      <c r="G96" s="42" t="s">
        <v>269</v>
      </c>
      <c r="H96" s="42" t="s">
        <v>294</v>
      </c>
      <c r="I96" s="46" t="str">
        <f t="shared" si="8"/>
        <v>EPM_Practice_India_-_PlanningSr. Solution Architect - PLN</v>
      </c>
      <c r="J96" s="207" t="s">
        <v>96</v>
      </c>
      <c r="K96" s="42" t="s">
        <v>946</v>
      </c>
      <c r="M96" s="19" t="s">
        <v>269</v>
      </c>
      <c r="N96" s="19" t="s">
        <v>241</v>
      </c>
      <c r="O96" s="19" t="str">
        <f t="shared" ref="O96:O107" si="11">_xlfn.CONCAT(M96,N96)</f>
        <v>EPM_Practice_India_-_PlanningSr. Solution Architect</v>
      </c>
      <c r="P96" s="21">
        <v>150</v>
      </c>
      <c r="Q96" s="21">
        <v>45</v>
      </c>
      <c r="R96" s="19" t="s">
        <v>946</v>
      </c>
      <c r="S96" s="17"/>
      <c r="W96" s="19" t="str">
        <v>EPM_Practice_India_-_PlanningSr. Solution Architect - PLN</v>
      </c>
      <c r="BO96"/>
      <c r="BP96"/>
    </row>
    <row r="97" spans="1:68" x14ac:dyDescent="0.25">
      <c r="A97" s="19" t="s">
        <v>981</v>
      </c>
      <c r="B97" s="19"/>
      <c r="C97" s="19"/>
      <c r="D97" s="19"/>
      <c r="E97" s="19"/>
      <c r="F97" s="19"/>
      <c r="G97" s="206" t="s">
        <v>378</v>
      </c>
      <c r="H97" s="206" t="s">
        <v>407</v>
      </c>
      <c r="I97" s="46" t="str">
        <f t="shared" ref="I97:I101" si="12">_xlfn.CONCAT(G97,H97)</f>
        <v>ERP_Practice_USAProject Coordinator</v>
      </c>
      <c r="J97" s="207" t="s">
        <v>96</v>
      </c>
      <c r="K97" s="206" t="s">
        <v>776</v>
      </c>
      <c r="M97" s="19" t="s">
        <v>269</v>
      </c>
      <c r="N97" s="19" t="s">
        <v>226</v>
      </c>
      <c r="O97" s="19" t="str">
        <f t="shared" si="11"/>
        <v>EPM_Practice_India_-_PlanningSoftware Engineer</v>
      </c>
      <c r="P97" s="21">
        <v>35</v>
      </c>
      <c r="Q97" s="21">
        <v>11</v>
      </c>
      <c r="R97" s="19" t="s">
        <v>946</v>
      </c>
      <c r="S97" s="17"/>
      <c r="W97" s="19" t="str">
        <v>ERP_Practice_USAProject Coordinator</v>
      </c>
      <c r="BO97"/>
      <c r="BP97"/>
    </row>
    <row r="98" spans="1:68" x14ac:dyDescent="0.25">
      <c r="A98" s="19" t="s">
        <v>982</v>
      </c>
      <c r="B98" s="19"/>
      <c r="C98" s="19"/>
      <c r="D98" s="19"/>
      <c r="E98" s="19"/>
      <c r="F98" s="19"/>
      <c r="G98" s="206" t="s">
        <v>378</v>
      </c>
      <c r="H98" s="206" t="s">
        <v>200</v>
      </c>
      <c r="I98" s="46" t="str">
        <f t="shared" si="12"/>
        <v>ERP_Practice_USAProject Manager</v>
      </c>
      <c r="J98" s="207" t="s">
        <v>96</v>
      </c>
      <c r="K98" s="206" t="s">
        <v>776</v>
      </c>
      <c r="M98" s="19" t="s">
        <v>269</v>
      </c>
      <c r="N98" s="19" t="s">
        <v>230</v>
      </c>
      <c r="O98" s="19" t="str">
        <f t="shared" si="11"/>
        <v>EPM_Practice_India_-_PlanningSr. Software Engineer</v>
      </c>
      <c r="P98" s="21">
        <v>45</v>
      </c>
      <c r="Q98" s="21">
        <v>13</v>
      </c>
      <c r="R98" s="19" t="s">
        <v>946</v>
      </c>
      <c r="S98" s="17"/>
      <c r="W98" s="19" t="str">
        <v>ERP_Practice_USAProject Manager</v>
      </c>
      <c r="BO98"/>
      <c r="BP98"/>
    </row>
    <row r="99" spans="1:68" x14ac:dyDescent="0.25">
      <c r="A99" s="19" t="s">
        <v>983</v>
      </c>
      <c r="B99" s="19"/>
      <c r="C99" s="19"/>
      <c r="D99" s="19"/>
      <c r="E99" s="19"/>
      <c r="F99" s="19"/>
      <c r="G99" s="206" t="s">
        <v>378</v>
      </c>
      <c r="H99" s="206" t="s">
        <v>95</v>
      </c>
      <c r="I99" s="46" t="str">
        <f t="shared" si="12"/>
        <v>ERP_Practice_USASr. Project Manager</v>
      </c>
      <c r="J99" s="207" t="s">
        <v>96</v>
      </c>
      <c r="K99" s="206" t="s">
        <v>776</v>
      </c>
      <c r="M99" s="19" t="s">
        <v>269</v>
      </c>
      <c r="N99" s="19" t="s">
        <v>272</v>
      </c>
      <c r="O99" s="19" t="str">
        <f t="shared" si="11"/>
        <v>EPM_Practice_India_-_PlanningSr. Application Developer</v>
      </c>
      <c r="P99" s="21">
        <v>65</v>
      </c>
      <c r="Q99" s="21">
        <v>17</v>
      </c>
      <c r="R99" s="19" t="s">
        <v>946</v>
      </c>
      <c r="S99" s="17"/>
      <c r="W99" s="19" t="str">
        <v>ERP_Practice_USASr. Project Manager</v>
      </c>
      <c r="BO99"/>
      <c r="BP99"/>
    </row>
    <row r="100" spans="1:68" x14ac:dyDescent="0.25">
      <c r="A100" s="19" t="s">
        <v>984</v>
      </c>
      <c r="B100" s="19"/>
      <c r="C100" s="19"/>
      <c r="D100" s="19"/>
      <c r="E100" s="19"/>
      <c r="F100" s="19"/>
      <c r="G100" s="206" t="s">
        <v>378</v>
      </c>
      <c r="H100" s="206" t="s">
        <v>381</v>
      </c>
      <c r="I100" s="46" t="str">
        <f t="shared" si="12"/>
        <v>ERP_Practice_USAApplication Support Lead</v>
      </c>
      <c r="J100" s="207" t="s">
        <v>96</v>
      </c>
      <c r="K100" s="206" t="s">
        <v>776</v>
      </c>
      <c r="M100" s="19" t="s">
        <v>269</v>
      </c>
      <c r="N100" t="s">
        <v>886</v>
      </c>
      <c r="O100" s="19" t="str">
        <f t="shared" si="11"/>
        <v>EPM_Practice_India_-_PlanningApplication Support Lead - PLN</v>
      </c>
      <c r="P100" s="20">
        <v>40</v>
      </c>
      <c r="Q100" s="20">
        <v>17</v>
      </c>
      <c r="R100" s="19" t="s">
        <v>946</v>
      </c>
      <c r="S100" s="17"/>
      <c r="W100" s="19" t="str">
        <v>ERP_Practice_USAApplication Support Lead</v>
      </c>
      <c r="BO100"/>
      <c r="BP100"/>
    </row>
    <row r="101" spans="1:68" x14ac:dyDescent="0.25">
      <c r="A101" s="19" t="s">
        <v>985</v>
      </c>
      <c r="B101" s="19"/>
      <c r="C101" s="19"/>
      <c r="D101" s="19"/>
      <c r="E101" s="19"/>
      <c r="F101" s="19"/>
      <c r="G101" s="206" t="s">
        <v>378</v>
      </c>
      <c r="H101" s="206" t="s">
        <v>320</v>
      </c>
      <c r="I101" s="46" t="str">
        <f t="shared" si="12"/>
        <v>ERP_Practice_USASr. Application Support Lead</v>
      </c>
      <c r="J101" s="207" t="s">
        <v>96</v>
      </c>
      <c r="K101" s="206" t="s">
        <v>776</v>
      </c>
      <c r="M101" s="19" t="s">
        <v>269</v>
      </c>
      <c r="N101" t="s">
        <v>921</v>
      </c>
      <c r="O101" s="19" t="str">
        <f t="shared" si="11"/>
        <v>EPM_Practice_India_-_PlanningSr. Application Support Lead - PLN</v>
      </c>
      <c r="P101" s="20">
        <v>50</v>
      </c>
      <c r="Q101" s="20">
        <v>22</v>
      </c>
      <c r="R101" s="19" t="s">
        <v>946</v>
      </c>
      <c r="S101" s="17"/>
      <c r="W101" s="19" t="str">
        <v>ERP_Practice_USASr. Application Support Lead</v>
      </c>
      <c r="BO101"/>
      <c r="BP101"/>
    </row>
    <row r="102" spans="1:68" x14ac:dyDescent="0.25">
      <c r="A102" s="19" t="s">
        <v>986</v>
      </c>
      <c r="B102" s="19"/>
      <c r="C102" s="19"/>
      <c r="D102" s="19"/>
      <c r="E102" s="19"/>
      <c r="F102" s="19"/>
      <c r="G102" s="206" t="s">
        <v>378</v>
      </c>
      <c r="H102" s="206" t="s">
        <v>216</v>
      </c>
      <c r="I102" s="46" t="str">
        <f t="shared" ref="I102:I108" si="13">_xlfn.CONCAT(G102,H102)</f>
        <v>ERP_Practice_USAApplication Developer</v>
      </c>
      <c r="J102" s="207" t="s">
        <v>96</v>
      </c>
      <c r="K102" s="206" t="s">
        <v>776</v>
      </c>
      <c r="M102" s="19" t="s">
        <v>269</v>
      </c>
      <c r="N102" t="s">
        <v>98</v>
      </c>
      <c r="O102" s="19" t="str">
        <f t="shared" si="11"/>
        <v>EPM_Practice_India_-_PlanningApplication Developer - PLN</v>
      </c>
      <c r="P102" s="20">
        <v>55</v>
      </c>
      <c r="Q102" s="20">
        <v>15</v>
      </c>
      <c r="R102" s="19" t="s">
        <v>946</v>
      </c>
      <c r="S102" s="17"/>
      <c r="W102" s="19" t="str">
        <v>ERP_Practice_USAApplication Developer</v>
      </c>
      <c r="BO102"/>
      <c r="BP102"/>
    </row>
    <row r="103" spans="1:68" x14ac:dyDescent="0.25">
      <c r="A103" s="19" t="s">
        <v>987</v>
      </c>
      <c r="B103" s="19"/>
      <c r="C103" s="19"/>
      <c r="D103" s="19"/>
      <c r="E103" s="19"/>
      <c r="F103" s="19"/>
      <c r="G103" s="206" t="s">
        <v>378</v>
      </c>
      <c r="H103" s="206" t="s">
        <v>272</v>
      </c>
      <c r="I103" s="46" t="str">
        <f t="shared" si="13"/>
        <v>ERP_Practice_USASr. Application Developer</v>
      </c>
      <c r="J103" s="207" t="s">
        <v>96</v>
      </c>
      <c r="K103" s="206" t="s">
        <v>776</v>
      </c>
      <c r="M103" s="19" t="s">
        <v>269</v>
      </c>
      <c r="N103" t="s">
        <v>280</v>
      </c>
      <c r="O103" s="19" t="str">
        <f t="shared" si="11"/>
        <v>EPM_Practice_India_-_PlanningSr. Application Developer - PLN</v>
      </c>
      <c r="P103" s="20">
        <v>65</v>
      </c>
      <c r="Q103" s="20">
        <v>17</v>
      </c>
      <c r="R103" s="19" t="s">
        <v>946</v>
      </c>
      <c r="S103" s="17"/>
      <c r="W103" s="19" t="str">
        <v>ERP_Practice_USASr. Application Developer</v>
      </c>
      <c r="BO103"/>
      <c r="BP103"/>
    </row>
    <row r="104" spans="1:68" x14ac:dyDescent="0.25">
      <c r="A104" s="19" t="s">
        <v>988</v>
      </c>
      <c r="B104" s="19"/>
      <c r="C104" s="19"/>
      <c r="D104" s="19"/>
      <c r="E104" s="19"/>
      <c r="F104" s="19"/>
      <c r="G104" s="206" t="s">
        <v>378</v>
      </c>
      <c r="H104" s="206" t="s">
        <v>307</v>
      </c>
      <c r="I104" s="46" t="str">
        <f t="shared" si="13"/>
        <v>ERP_Practice_USAApplication Lead</v>
      </c>
      <c r="J104" s="207" t="s">
        <v>96</v>
      </c>
      <c r="K104" s="206" t="s">
        <v>776</v>
      </c>
      <c r="M104" s="19" t="s">
        <v>269</v>
      </c>
      <c r="N104" t="s">
        <v>291</v>
      </c>
      <c r="O104" s="19" t="str">
        <f t="shared" si="11"/>
        <v>EPM_Practice_India_-_PlanningApplication Lead - PLN</v>
      </c>
      <c r="P104" s="20">
        <v>75</v>
      </c>
      <c r="Q104" s="20">
        <v>22</v>
      </c>
      <c r="R104" s="19" t="s">
        <v>946</v>
      </c>
      <c r="S104" s="17"/>
      <c r="W104" s="19" t="str">
        <v>ERP_Practice_USAApplication Lead</v>
      </c>
      <c r="BO104"/>
      <c r="BP104"/>
    </row>
    <row r="105" spans="1:68" x14ac:dyDescent="0.25">
      <c r="A105" s="19" t="s">
        <v>989</v>
      </c>
      <c r="B105" s="19"/>
      <c r="C105" s="19"/>
      <c r="D105" s="19"/>
      <c r="E105" s="19"/>
      <c r="F105" s="19"/>
      <c r="G105" s="206" t="s">
        <v>378</v>
      </c>
      <c r="H105" s="206" t="s">
        <v>219</v>
      </c>
      <c r="I105" s="46" t="str">
        <f t="shared" si="13"/>
        <v>ERP_Practice_USASr. Application Lead</v>
      </c>
      <c r="J105" s="207" t="s">
        <v>96</v>
      </c>
      <c r="K105" s="206" t="s">
        <v>776</v>
      </c>
      <c r="M105" s="19" t="s">
        <v>269</v>
      </c>
      <c r="N105" t="s">
        <v>270</v>
      </c>
      <c r="O105" s="19" t="str">
        <f t="shared" si="11"/>
        <v>EPM_Practice_India_-_PlanningSr. Application Lead - PLN</v>
      </c>
      <c r="P105" s="20">
        <v>85</v>
      </c>
      <c r="Q105" s="20">
        <v>27</v>
      </c>
      <c r="R105" s="19" t="s">
        <v>946</v>
      </c>
      <c r="S105" s="17"/>
      <c r="W105" s="19" t="str">
        <v>ERP_Practice_USASr. Application Lead</v>
      </c>
      <c r="BO105"/>
      <c r="BP105"/>
    </row>
    <row r="106" spans="1:68" x14ac:dyDescent="0.25">
      <c r="A106" s="19" t="s">
        <v>990</v>
      </c>
      <c r="B106" s="19"/>
      <c r="C106" s="19"/>
      <c r="D106" s="19"/>
      <c r="E106" s="19"/>
      <c r="F106" s="19"/>
      <c r="G106" s="206" t="s">
        <v>378</v>
      </c>
      <c r="H106" s="206" t="s">
        <v>305</v>
      </c>
      <c r="I106" s="46" t="str">
        <f t="shared" si="13"/>
        <v>ERP_Practice_USAFunctional Lead</v>
      </c>
      <c r="J106" s="207" t="s">
        <v>96</v>
      </c>
      <c r="K106" s="206" t="s">
        <v>776</v>
      </c>
      <c r="M106" s="19" t="s">
        <v>269</v>
      </c>
      <c r="N106" t="s">
        <v>274</v>
      </c>
      <c r="O106" s="19" t="str">
        <f t="shared" si="11"/>
        <v>EPM_Practice_India_-_PlanningSolution Architect - PLN</v>
      </c>
      <c r="P106" s="20">
        <v>95</v>
      </c>
      <c r="Q106" s="20">
        <v>32</v>
      </c>
      <c r="R106" s="19" t="s">
        <v>946</v>
      </c>
      <c r="S106" s="17"/>
      <c r="W106" s="19" t="str">
        <v>ERP_Practice_USAFunctional Lead</v>
      </c>
      <c r="BO106"/>
      <c r="BP106"/>
    </row>
    <row r="107" spans="1:68" x14ac:dyDescent="0.25">
      <c r="A107" s="19" t="s">
        <v>991</v>
      </c>
      <c r="B107" s="19"/>
      <c r="C107" s="19"/>
      <c r="D107" s="19"/>
      <c r="E107" s="19"/>
      <c r="F107" s="19"/>
      <c r="G107" s="206" t="s">
        <v>378</v>
      </c>
      <c r="H107" s="206" t="s">
        <v>313</v>
      </c>
      <c r="I107" s="46" t="str">
        <f t="shared" si="13"/>
        <v>ERP_Practice_USASolution Architect</v>
      </c>
      <c r="J107" s="207" t="s">
        <v>96</v>
      </c>
      <c r="K107" s="206" t="s">
        <v>776</v>
      </c>
      <c r="M107" s="19" t="s">
        <v>269</v>
      </c>
      <c r="N107" t="s">
        <v>294</v>
      </c>
      <c r="O107" s="19" t="str">
        <f t="shared" si="11"/>
        <v>EPM_Practice_India_-_PlanningSr. Solution Architect - PLN</v>
      </c>
      <c r="P107" s="20">
        <v>150</v>
      </c>
      <c r="Q107" s="20">
        <v>45</v>
      </c>
      <c r="R107" s="19" t="s">
        <v>946</v>
      </c>
      <c r="S107" s="17"/>
      <c r="W107" s="19" t="str">
        <v>ERP_Practice_USASolution Architect</v>
      </c>
      <c r="BO107"/>
      <c r="BP107"/>
    </row>
    <row r="108" spans="1:68" x14ac:dyDescent="0.25">
      <c r="A108" s="19" t="s">
        <v>992</v>
      </c>
      <c r="B108" s="19"/>
      <c r="C108" s="19"/>
      <c r="D108" s="19"/>
      <c r="E108" s="19"/>
      <c r="F108" s="19"/>
      <c r="G108" s="206" t="s">
        <v>378</v>
      </c>
      <c r="H108" s="206" t="s">
        <v>241</v>
      </c>
      <c r="I108" s="46" t="str">
        <f t="shared" si="13"/>
        <v>ERP_Practice_USASr. Solution Architect</v>
      </c>
      <c r="J108" s="207" t="s">
        <v>96</v>
      </c>
      <c r="K108" s="206" t="s">
        <v>776</v>
      </c>
      <c r="M108" s="19"/>
      <c r="N108" s="19"/>
      <c r="O108" s="19"/>
      <c r="P108" s="21"/>
      <c r="Q108" s="21"/>
      <c r="R108" s="19"/>
      <c r="S108" s="17"/>
      <c r="W108" s="19" t="str">
        <v>ERP_Practice_USASr. Solution Architect</v>
      </c>
      <c r="BO108"/>
      <c r="BP108"/>
    </row>
    <row r="109" spans="1:68" x14ac:dyDescent="0.25">
      <c r="A109" s="19" t="s">
        <v>993</v>
      </c>
      <c r="B109" s="19"/>
      <c r="C109" s="19"/>
      <c r="D109" s="19"/>
      <c r="E109" s="19"/>
      <c r="F109" s="19"/>
      <c r="G109" s="206" t="s">
        <v>378</v>
      </c>
      <c r="H109" s="206" t="s">
        <v>358</v>
      </c>
      <c r="I109" s="46" t="str">
        <f t="shared" ref="I109:I211" si="14">_xlfn.CONCAT(G109,H109)</f>
        <v>ERP_Practice_USAPrincipal</v>
      </c>
      <c r="J109" s="207" t="s">
        <v>96</v>
      </c>
      <c r="K109" s="206" t="s">
        <v>776</v>
      </c>
      <c r="M109" s="19" t="s">
        <v>378</v>
      </c>
      <c r="N109" t="s">
        <v>407</v>
      </c>
      <c r="O109" s="19" t="str">
        <f t="shared" ref="O109:O121" si="15">_xlfn.CONCAT(M109,N109)</f>
        <v>ERP_Practice_USAProject Coordinator</v>
      </c>
      <c r="P109" s="20">
        <v>190</v>
      </c>
      <c r="Q109" s="20">
        <v>120</v>
      </c>
      <c r="R109" s="19" t="s">
        <v>776</v>
      </c>
      <c r="S109" s="17"/>
      <c r="W109" s="19" t="str">
        <v>ERP_Practice_USAPrincipal</v>
      </c>
      <c r="BO109"/>
      <c r="BP109"/>
    </row>
    <row r="110" spans="1:68" x14ac:dyDescent="0.25">
      <c r="A110" s="19" t="s">
        <v>994</v>
      </c>
      <c r="B110" s="19"/>
      <c r="C110" s="19"/>
      <c r="D110" s="19"/>
      <c r="E110" s="19"/>
      <c r="F110" s="19"/>
      <c r="G110" s="206" t="s">
        <v>360</v>
      </c>
      <c r="H110" s="206" t="s">
        <v>407</v>
      </c>
      <c r="I110" s="46" t="str">
        <f t="shared" si="14"/>
        <v>ERP_Practice_IndiaProject Coordinator</v>
      </c>
      <c r="J110" s="207" t="s">
        <v>96</v>
      </c>
      <c r="K110" s="206" t="s">
        <v>946</v>
      </c>
      <c r="M110" s="19" t="s">
        <v>378</v>
      </c>
      <c r="N110" t="s">
        <v>200</v>
      </c>
      <c r="O110" s="19" t="str">
        <f t="shared" si="15"/>
        <v>ERP_Practice_USAProject Manager</v>
      </c>
      <c r="P110" s="20">
        <v>230</v>
      </c>
      <c r="Q110" s="20">
        <v>130</v>
      </c>
      <c r="R110" s="19" t="s">
        <v>776</v>
      </c>
      <c r="S110" s="17"/>
      <c r="W110" s="19" t="str">
        <v>ERP_Practice_IndiaProject Coordinator</v>
      </c>
      <c r="BO110"/>
      <c r="BP110"/>
    </row>
    <row r="111" spans="1:68" x14ac:dyDescent="0.25">
      <c r="A111" s="19" t="s">
        <v>995</v>
      </c>
      <c r="B111" s="19"/>
      <c r="C111" s="19"/>
      <c r="D111" s="19"/>
      <c r="E111" s="19"/>
      <c r="F111" s="19"/>
      <c r="G111" s="206" t="s">
        <v>360</v>
      </c>
      <c r="H111" s="206" t="s">
        <v>200</v>
      </c>
      <c r="I111" s="46" t="str">
        <f t="shared" si="14"/>
        <v>ERP_Practice_IndiaProject Manager</v>
      </c>
      <c r="J111" s="207" t="s">
        <v>96</v>
      </c>
      <c r="K111" s="206" t="s">
        <v>946</v>
      </c>
      <c r="M111" s="19" t="s">
        <v>378</v>
      </c>
      <c r="N111" t="s">
        <v>95</v>
      </c>
      <c r="O111" s="19" t="str">
        <f t="shared" si="15"/>
        <v>ERP_Practice_USASr. Project Manager</v>
      </c>
      <c r="P111" s="20">
        <v>250</v>
      </c>
      <c r="Q111" s="20">
        <v>140</v>
      </c>
      <c r="R111" s="19" t="s">
        <v>776</v>
      </c>
      <c r="S111" s="17"/>
      <c r="W111" s="19" t="str">
        <v>ERP_Practice_IndiaProject Manager</v>
      </c>
      <c r="BO111"/>
      <c r="BP111"/>
    </row>
    <row r="112" spans="1:68" x14ac:dyDescent="0.25">
      <c r="A112" s="19" t="s">
        <v>996</v>
      </c>
      <c r="B112" s="19"/>
      <c r="C112" s="19"/>
      <c r="D112" s="19"/>
      <c r="E112" s="19"/>
      <c r="F112" s="19"/>
      <c r="G112" s="206" t="s">
        <v>360</v>
      </c>
      <c r="H112" s="206" t="s">
        <v>381</v>
      </c>
      <c r="I112" s="46" t="str">
        <f t="shared" si="14"/>
        <v>ERP_Practice_IndiaApplication Support Lead</v>
      </c>
      <c r="J112" s="207" t="s">
        <v>96</v>
      </c>
      <c r="K112" s="206" t="s">
        <v>946</v>
      </c>
      <c r="M112" s="19" t="s">
        <v>378</v>
      </c>
      <c r="N112" t="s">
        <v>381</v>
      </c>
      <c r="O112" s="19" t="str">
        <f t="shared" si="15"/>
        <v>ERP_Practice_USAApplication Support Lead</v>
      </c>
      <c r="P112" s="20">
        <v>200</v>
      </c>
      <c r="Q112" s="20">
        <v>130</v>
      </c>
      <c r="R112" s="19" t="s">
        <v>776</v>
      </c>
      <c r="S112" s="17"/>
      <c r="W112" s="19" t="str">
        <v>ERP_Practice_IndiaApplication Support Lead</v>
      </c>
      <c r="BO112"/>
      <c r="BP112"/>
    </row>
    <row r="113" spans="1:68" x14ac:dyDescent="0.25">
      <c r="A113" s="19" t="s">
        <v>997</v>
      </c>
      <c r="B113" s="19"/>
      <c r="C113" s="19"/>
      <c r="D113" s="19"/>
      <c r="E113" s="19"/>
      <c r="F113" s="19"/>
      <c r="G113" s="206" t="s">
        <v>360</v>
      </c>
      <c r="H113" s="206" t="s">
        <v>320</v>
      </c>
      <c r="I113" s="46" t="str">
        <f t="shared" si="14"/>
        <v>ERP_Practice_IndiaSr. Application Support Lead</v>
      </c>
      <c r="J113" s="207" t="s">
        <v>96</v>
      </c>
      <c r="K113" s="206" t="s">
        <v>946</v>
      </c>
      <c r="M113" s="19" t="s">
        <v>378</v>
      </c>
      <c r="N113" t="s">
        <v>320</v>
      </c>
      <c r="O113" s="19" t="str">
        <f t="shared" si="15"/>
        <v>ERP_Practice_USASr. Application Support Lead</v>
      </c>
      <c r="P113" s="20">
        <v>210</v>
      </c>
      <c r="Q113" s="20">
        <v>140</v>
      </c>
      <c r="R113" s="19" t="s">
        <v>776</v>
      </c>
      <c r="S113" s="17"/>
      <c r="W113" s="19" t="str">
        <v>ERP_Practice_IndiaSr. Application Support Lead</v>
      </c>
      <c r="BO113"/>
      <c r="BP113"/>
    </row>
    <row r="114" spans="1:68" x14ac:dyDescent="0.25">
      <c r="A114" s="19" t="s">
        <v>998</v>
      </c>
      <c r="B114" s="19"/>
      <c r="C114" s="19"/>
      <c r="D114" s="19"/>
      <c r="E114" s="19"/>
      <c r="F114" s="19"/>
      <c r="G114" s="206" t="s">
        <v>360</v>
      </c>
      <c r="H114" s="206" t="s">
        <v>226</v>
      </c>
      <c r="I114" s="46" t="str">
        <f t="shared" si="14"/>
        <v>ERP_Practice_IndiaSoftware Engineer</v>
      </c>
      <c r="J114" s="207" t="s">
        <v>96</v>
      </c>
      <c r="K114" s="206" t="s">
        <v>946</v>
      </c>
      <c r="M114" s="19" t="s">
        <v>378</v>
      </c>
      <c r="N114" t="s">
        <v>216</v>
      </c>
      <c r="O114" s="19" t="str">
        <f t="shared" si="15"/>
        <v>ERP_Practice_USAApplication Developer</v>
      </c>
      <c r="P114" s="20">
        <v>215</v>
      </c>
      <c r="Q114" s="20">
        <v>125</v>
      </c>
      <c r="R114" s="19" t="s">
        <v>776</v>
      </c>
      <c r="S114" s="17"/>
      <c r="W114" s="19" t="str">
        <v>ERP_Practice_IndiaSoftware Engineer</v>
      </c>
      <c r="BO114"/>
      <c r="BP114"/>
    </row>
    <row r="115" spans="1:68" x14ac:dyDescent="0.25">
      <c r="A115" s="19" t="s">
        <v>999</v>
      </c>
      <c r="B115" s="19"/>
      <c r="C115" s="19"/>
      <c r="D115" s="19"/>
      <c r="E115" s="19"/>
      <c r="F115" s="19"/>
      <c r="G115" s="206" t="s">
        <v>360</v>
      </c>
      <c r="H115" s="206" t="s">
        <v>230</v>
      </c>
      <c r="I115" s="46" t="str">
        <f t="shared" si="14"/>
        <v>ERP_Practice_IndiaSr. Software Engineer</v>
      </c>
      <c r="J115" s="207" t="s">
        <v>96</v>
      </c>
      <c r="K115" s="206" t="s">
        <v>946</v>
      </c>
      <c r="M115" s="19" t="s">
        <v>378</v>
      </c>
      <c r="N115" t="s">
        <v>272</v>
      </c>
      <c r="O115" s="19" t="str">
        <f t="shared" si="15"/>
        <v>ERP_Practice_USASr. Application Developer</v>
      </c>
      <c r="P115" s="20">
        <v>240</v>
      </c>
      <c r="Q115" s="20">
        <v>135</v>
      </c>
      <c r="R115" s="19" t="s">
        <v>776</v>
      </c>
      <c r="S115" s="17"/>
      <c r="W115" s="19" t="str">
        <v>ERP_Practice_IndiaSr. Software Engineer</v>
      </c>
      <c r="BO115"/>
      <c r="BP115"/>
    </row>
    <row r="116" spans="1:68" x14ac:dyDescent="0.25">
      <c r="A116" s="19" t="s">
        <v>1000</v>
      </c>
      <c r="B116" s="19"/>
      <c r="C116" s="19"/>
      <c r="D116" s="19"/>
      <c r="E116" s="19"/>
      <c r="F116" s="19"/>
      <c r="G116" s="206" t="s">
        <v>360</v>
      </c>
      <c r="H116" s="206" t="s">
        <v>216</v>
      </c>
      <c r="I116" s="46" t="str">
        <f t="shared" si="14"/>
        <v>ERP_Practice_IndiaApplication Developer</v>
      </c>
      <c r="J116" s="207" t="s">
        <v>96</v>
      </c>
      <c r="K116" s="206" t="s">
        <v>946</v>
      </c>
      <c r="M116" s="19" t="s">
        <v>378</v>
      </c>
      <c r="N116" t="s">
        <v>307</v>
      </c>
      <c r="O116" s="19" t="str">
        <f t="shared" si="15"/>
        <v>ERP_Practice_USAApplication Lead</v>
      </c>
      <c r="P116" s="20">
        <v>265</v>
      </c>
      <c r="Q116" s="20">
        <v>145</v>
      </c>
      <c r="R116" s="19" t="s">
        <v>776</v>
      </c>
      <c r="S116" s="17"/>
      <c r="W116" s="19" t="str">
        <v>ERP_Practice_IndiaApplication Developer</v>
      </c>
      <c r="BO116"/>
      <c r="BP116"/>
    </row>
    <row r="117" spans="1:68" x14ac:dyDescent="0.25">
      <c r="A117" s="19" t="s">
        <v>1001</v>
      </c>
      <c r="B117" s="19"/>
      <c r="C117" s="19"/>
      <c r="D117" s="19"/>
      <c r="E117" s="19"/>
      <c r="F117" s="19"/>
      <c r="G117" s="206" t="s">
        <v>360</v>
      </c>
      <c r="H117" s="206" t="s">
        <v>272</v>
      </c>
      <c r="I117" s="46" t="str">
        <f t="shared" si="14"/>
        <v>ERP_Practice_IndiaSr. Application Developer</v>
      </c>
      <c r="J117" s="207" t="s">
        <v>96</v>
      </c>
      <c r="K117" s="206" t="s">
        <v>946</v>
      </c>
      <c r="M117" s="19" t="s">
        <v>378</v>
      </c>
      <c r="N117" t="s">
        <v>219</v>
      </c>
      <c r="O117" s="19" t="str">
        <f t="shared" si="15"/>
        <v>ERP_Practice_USASr. Application Lead</v>
      </c>
      <c r="P117" s="20">
        <v>290</v>
      </c>
      <c r="Q117" s="20">
        <v>160</v>
      </c>
      <c r="R117" s="19" t="s">
        <v>776</v>
      </c>
      <c r="S117" s="17"/>
      <c r="W117" s="19" t="str">
        <v>ERP_Practice_IndiaSr. Application Developer</v>
      </c>
      <c r="BO117"/>
      <c r="BP117"/>
    </row>
    <row r="118" spans="1:68" x14ac:dyDescent="0.25">
      <c r="A118" s="19" t="s">
        <v>1002</v>
      </c>
      <c r="B118" s="19"/>
      <c r="C118" s="19"/>
      <c r="D118" s="19"/>
      <c r="E118" s="19"/>
      <c r="F118" s="19"/>
      <c r="G118" s="206" t="s">
        <v>360</v>
      </c>
      <c r="H118" s="206" t="s">
        <v>307</v>
      </c>
      <c r="I118" s="46" t="str">
        <f t="shared" si="14"/>
        <v>ERP_Practice_IndiaApplication Lead</v>
      </c>
      <c r="J118" s="207" t="s">
        <v>96</v>
      </c>
      <c r="K118" s="206" t="s">
        <v>946</v>
      </c>
      <c r="M118" s="19" t="s">
        <v>378</v>
      </c>
      <c r="N118" t="s">
        <v>305</v>
      </c>
      <c r="O118" s="19" t="str">
        <f t="shared" si="15"/>
        <v>ERP_Practice_USAFunctional Lead</v>
      </c>
      <c r="P118" s="20">
        <v>315</v>
      </c>
      <c r="Q118" s="20">
        <v>170</v>
      </c>
      <c r="R118" s="19" t="s">
        <v>776</v>
      </c>
      <c r="S118" s="17"/>
      <c r="W118" s="19" t="str">
        <v>ERP_Practice_IndiaApplication Lead</v>
      </c>
      <c r="BO118"/>
      <c r="BP118"/>
    </row>
    <row r="119" spans="1:68" x14ac:dyDescent="0.25">
      <c r="A119" s="19" t="s">
        <v>1003</v>
      </c>
      <c r="B119" s="19"/>
      <c r="C119" s="19"/>
      <c r="D119" s="19"/>
      <c r="E119" s="19"/>
      <c r="F119" s="19"/>
      <c r="G119" s="206" t="s">
        <v>360</v>
      </c>
      <c r="H119" s="206" t="s">
        <v>219</v>
      </c>
      <c r="I119" s="46" t="str">
        <f t="shared" si="14"/>
        <v>ERP_Practice_IndiaSr. Application Lead</v>
      </c>
      <c r="J119" s="207" t="s">
        <v>96</v>
      </c>
      <c r="K119" s="206" t="s">
        <v>946</v>
      </c>
      <c r="M119" s="19" t="s">
        <v>378</v>
      </c>
      <c r="N119" t="s">
        <v>313</v>
      </c>
      <c r="O119" s="19" t="str">
        <f t="shared" si="15"/>
        <v>ERP_Practice_USASolution Architect</v>
      </c>
      <c r="P119" s="20">
        <v>365</v>
      </c>
      <c r="Q119" s="20">
        <v>185</v>
      </c>
      <c r="R119" s="19" t="s">
        <v>776</v>
      </c>
      <c r="S119" s="17"/>
      <c r="W119" s="19" t="str">
        <v>ERP_Practice_IndiaSr. Application Lead</v>
      </c>
      <c r="BO119"/>
      <c r="BP119"/>
    </row>
    <row r="120" spans="1:68" x14ac:dyDescent="0.25">
      <c r="A120" s="19" t="s">
        <v>1004</v>
      </c>
      <c r="B120" s="19"/>
      <c r="C120" s="19"/>
      <c r="D120" s="19"/>
      <c r="E120" s="19"/>
      <c r="F120" s="19"/>
      <c r="G120" s="206" t="s">
        <v>360</v>
      </c>
      <c r="H120" s="206" t="s">
        <v>313</v>
      </c>
      <c r="I120" s="46" t="str">
        <f t="shared" si="14"/>
        <v>ERP_Practice_IndiaSolution Architect</v>
      </c>
      <c r="J120" s="207" t="s">
        <v>96</v>
      </c>
      <c r="K120" s="206" t="s">
        <v>946</v>
      </c>
      <c r="M120" s="19" t="s">
        <v>378</v>
      </c>
      <c r="N120" t="s">
        <v>241</v>
      </c>
      <c r="O120" s="19" t="str">
        <f t="shared" si="15"/>
        <v>ERP_Practice_USASr. Solution Architect</v>
      </c>
      <c r="P120" s="20">
        <v>390</v>
      </c>
      <c r="Q120" s="20">
        <v>195</v>
      </c>
      <c r="R120" s="19" t="s">
        <v>776</v>
      </c>
      <c r="S120" s="17"/>
      <c r="W120" s="19" t="str">
        <v>ERP_Practice_IndiaSolution Architect</v>
      </c>
      <c r="BO120"/>
      <c r="BP120"/>
    </row>
    <row r="121" spans="1:68" x14ac:dyDescent="0.25">
      <c r="A121" s="19" t="s">
        <v>1005</v>
      </c>
      <c r="B121" s="19"/>
      <c r="C121" s="19"/>
      <c r="D121" s="19"/>
      <c r="E121" s="19"/>
      <c r="F121" s="19"/>
      <c r="G121" s="206" t="s">
        <v>360</v>
      </c>
      <c r="H121" s="206" t="s">
        <v>241</v>
      </c>
      <c r="I121" s="46" t="str">
        <f t="shared" si="14"/>
        <v>ERP_Practice_IndiaSr. Solution Architect</v>
      </c>
      <c r="J121" s="207" t="s">
        <v>96</v>
      </c>
      <c r="K121" s="206" t="s">
        <v>946</v>
      </c>
      <c r="M121" s="19" t="s">
        <v>378</v>
      </c>
      <c r="N121" t="s">
        <v>358</v>
      </c>
      <c r="O121" s="19" t="str">
        <f t="shared" si="15"/>
        <v>ERP_Practice_USAPrincipal</v>
      </c>
      <c r="P121" s="20">
        <v>415</v>
      </c>
      <c r="Q121" s="20">
        <v>205</v>
      </c>
      <c r="R121" s="19" t="s">
        <v>776</v>
      </c>
      <c r="S121" s="17"/>
      <c r="W121" s="19" t="str">
        <v>ERP_Practice_IndiaSr. Solution Architect</v>
      </c>
      <c r="BO121"/>
      <c r="BP121"/>
    </row>
    <row r="122" spans="1:68" x14ac:dyDescent="0.25">
      <c r="A122" s="19" t="s">
        <v>1006</v>
      </c>
      <c r="B122" s="19"/>
      <c r="C122" s="19"/>
      <c r="D122" s="19"/>
      <c r="E122" s="19"/>
      <c r="F122" s="19"/>
      <c r="G122" s="206" t="s">
        <v>346</v>
      </c>
      <c r="H122" s="206" t="s">
        <v>200</v>
      </c>
      <c r="I122" s="46" t="str">
        <f t="shared" si="14"/>
        <v>ERP_Practice_ArgentinaProject Manager</v>
      </c>
      <c r="J122" s="207" t="s">
        <v>96</v>
      </c>
      <c r="K122" s="206" t="s">
        <v>1007</v>
      </c>
      <c r="M122" s="19"/>
      <c r="N122" s="19"/>
      <c r="O122" s="19"/>
      <c r="P122" s="21"/>
      <c r="Q122" s="21"/>
      <c r="R122" s="19"/>
      <c r="S122" s="17"/>
      <c r="W122" s="19" t="str">
        <v>ERP_Practice_ArgentinaProject Manager</v>
      </c>
      <c r="BO122"/>
      <c r="BP122"/>
    </row>
    <row r="123" spans="1:68" x14ac:dyDescent="0.25">
      <c r="A123" s="19" t="s">
        <v>1008</v>
      </c>
      <c r="B123" s="19"/>
      <c r="C123" s="19"/>
      <c r="D123" s="19"/>
      <c r="E123" s="19"/>
      <c r="F123" s="19"/>
      <c r="G123" s="206" t="s">
        <v>346</v>
      </c>
      <c r="H123" s="206" t="s">
        <v>95</v>
      </c>
      <c r="I123" s="46" t="str">
        <f t="shared" si="14"/>
        <v>ERP_Practice_ArgentinaSr. Project Manager</v>
      </c>
      <c r="J123" s="207" t="s">
        <v>96</v>
      </c>
      <c r="K123" s="206" t="s">
        <v>1007</v>
      </c>
      <c r="M123" s="19" t="s">
        <v>360</v>
      </c>
      <c r="N123" t="s">
        <v>407</v>
      </c>
      <c r="O123" s="19" t="str">
        <f t="shared" ref="O123:O134" si="16">_xlfn.CONCAT(M123,N123)</f>
        <v>ERP_Practice_IndiaProject Coordinator</v>
      </c>
      <c r="P123" s="20">
        <v>35</v>
      </c>
      <c r="Q123" s="20">
        <v>17</v>
      </c>
      <c r="R123" s="19" t="s">
        <v>946</v>
      </c>
      <c r="S123" s="17"/>
      <c r="W123" s="19" t="str">
        <v>ERP_Practice_ArgentinaSr. Project Manager</v>
      </c>
      <c r="BO123"/>
      <c r="BP123"/>
    </row>
    <row r="124" spans="1:68" x14ac:dyDescent="0.25">
      <c r="A124" s="19" t="s">
        <v>1009</v>
      </c>
      <c r="B124" s="19"/>
      <c r="C124" s="19"/>
      <c r="D124" s="19"/>
      <c r="E124" s="19"/>
      <c r="F124" s="19"/>
      <c r="G124" s="206" t="s">
        <v>346</v>
      </c>
      <c r="H124" s="206" t="s">
        <v>216</v>
      </c>
      <c r="I124" s="46" t="str">
        <f t="shared" si="14"/>
        <v>ERP_Practice_ArgentinaApplication Developer</v>
      </c>
      <c r="J124" s="207" t="s">
        <v>96</v>
      </c>
      <c r="K124" s="206" t="s">
        <v>1007</v>
      </c>
      <c r="M124" s="19" t="s">
        <v>360</v>
      </c>
      <c r="N124" t="s">
        <v>200</v>
      </c>
      <c r="O124" s="19" t="str">
        <f t="shared" si="16"/>
        <v>ERP_Practice_IndiaProject Manager</v>
      </c>
      <c r="P124" s="20">
        <v>45</v>
      </c>
      <c r="Q124" s="20">
        <v>22</v>
      </c>
      <c r="R124" s="19" t="s">
        <v>946</v>
      </c>
      <c r="S124" s="17"/>
      <c r="W124" s="19" t="str">
        <v>ERP_Practice_ArgentinaApplication Developer</v>
      </c>
      <c r="BO124"/>
      <c r="BP124"/>
    </row>
    <row r="125" spans="1:68" x14ac:dyDescent="0.25">
      <c r="A125" s="19" t="s">
        <v>1010</v>
      </c>
      <c r="B125" s="19"/>
      <c r="C125" s="19"/>
      <c r="D125" s="19"/>
      <c r="E125" s="19"/>
      <c r="F125" s="19"/>
      <c r="G125" s="206" t="s">
        <v>346</v>
      </c>
      <c r="H125" s="206" t="s">
        <v>272</v>
      </c>
      <c r="I125" s="46" t="str">
        <f t="shared" si="14"/>
        <v>ERP_Practice_ArgentinaSr. Application Developer</v>
      </c>
      <c r="J125" s="207" t="s">
        <v>96</v>
      </c>
      <c r="K125" s="206" t="s">
        <v>1007</v>
      </c>
      <c r="M125" s="19" t="s">
        <v>360</v>
      </c>
      <c r="N125" t="s">
        <v>381</v>
      </c>
      <c r="O125" s="19" t="str">
        <f t="shared" si="16"/>
        <v>ERP_Practice_IndiaApplication Support Lead</v>
      </c>
      <c r="P125" s="20">
        <v>40</v>
      </c>
      <c r="Q125" s="20">
        <v>17</v>
      </c>
      <c r="R125" s="19" t="s">
        <v>946</v>
      </c>
      <c r="S125" s="17"/>
      <c r="W125" s="19" t="str">
        <v>ERP_Practice_ArgentinaSr. Application Developer</v>
      </c>
      <c r="BO125"/>
      <c r="BP125"/>
    </row>
    <row r="126" spans="1:68" x14ac:dyDescent="0.25">
      <c r="A126" s="19" t="s">
        <v>1011</v>
      </c>
      <c r="B126" s="19"/>
      <c r="C126" s="19"/>
      <c r="D126" s="19"/>
      <c r="E126" s="19"/>
      <c r="F126" s="19"/>
      <c r="G126" s="206" t="s">
        <v>346</v>
      </c>
      <c r="H126" s="206" t="s">
        <v>307</v>
      </c>
      <c r="I126" s="46" t="str">
        <f t="shared" si="14"/>
        <v>ERP_Practice_ArgentinaApplication Lead</v>
      </c>
      <c r="J126" s="207" t="s">
        <v>96</v>
      </c>
      <c r="K126" s="206" t="s">
        <v>1007</v>
      </c>
      <c r="M126" s="19" t="s">
        <v>360</v>
      </c>
      <c r="N126" t="s">
        <v>320</v>
      </c>
      <c r="O126" s="19" t="str">
        <f t="shared" si="16"/>
        <v>ERP_Practice_IndiaSr. Application Support Lead</v>
      </c>
      <c r="P126" s="20">
        <v>50</v>
      </c>
      <c r="Q126" s="20">
        <v>22</v>
      </c>
      <c r="R126" s="19" t="s">
        <v>946</v>
      </c>
      <c r="S126" s="17"/>
      <c r="W126" s="19" t="str">
        <v>ERP_Practice_ArgentinaApplication Lead</v>
      </c>
      <c r="BO126"/>
      <c r="BP126"/>
    </row>
    <row r="127" spans="1:68" x14ac:dyDescent="0.25">
      <c r="A127" s="19" t="s">
        <v>1012</v>
      </c>
      <c r="B127" s="19"/>
      <c r="C127" s="19"/>
      <c r="D127" s="19"/>
      <c r="E127" s="19"/>
      <c r="F127" s="19"/>
      <c r="G127" s="206" t="s">
        <v>346</v>
      </c>
      <c r="H127" s="206" t="s">
        <v>219</v>
      </c>
      <c r="I127" s="46" t="str">
        <f t="shared" si="14"/>
        <v>ERP_Practice_ArgentinaSr. Application Lead</v>
      </c>
      <c r="J127" s="207" t="s">
        <v>96</v>
      </c>
      <c r="K127" s="206" t="s">
        <v>1007</v>
      </c>
      <c r="M127" s="19" t="s">
        <v>360</v>
      </c>
      <c r="N127" t="s">
        <v>226</v>
      </c>
      <c r="O127" s="19" t="str">
        <f t="shared" si="16"/>
        <v>ERP_Practice_IndiaSoftware Engineer</v>
      </c>
      <c r="P127" s="20">
        <v>35</v>
      </c>
      <c r="Q127" s="20">
        <v>11</v>
      </c>
      <c r="R127" s="19" t="s">
        <v>946</v>
      </c>
      <c r="S127" s="17"/>
      <c r="W127" s="19" t="str">
        <v>ERP_Practice_ArgentinaSr. Application Lead</v>
      </c>
      <c r="BO127"/>
      <c r="BP127"/>
    </row>
    <row r="128" spans="1:68" x14ac:dyDescent="0.25">
      <c r="A128" s="19" t="s">
        <v>1013</v>
      </c>
      <c r="B128" s="19"/>
      <c r="C128" s="19"/>
      <c r="D128" s="19"/>
      <c r="E128" s="19"/>
      <c r="F128" s="19"/>
      <c r="G128" s="206" t="s">
        <v>346</v>
      </c>
      <c r="H128" s="206" t="s">
        <v>305</v>
      </c>
      <c r="I128" s="46" t="str">
        <f t="shared" si="14"/>
        <v>ERP_Practice_ArgentinaFunctional Lead</v>
      </c>
      <c r="J128" s="207" t="s">
        <v>96</v>
      </c>
      <c r="K128" s="206" t="s">
        <v>1007</v>
      </c>
      <c r="M128" s="19" t="s">
        <v>360</v>
      </c>
      <c r="N128" t="s">
        <v>230</v>
      </c>
      <c r="O128" s="19" t="str">
        <f t="shared" si="16"/>
        <v>ERP_Practice_IndiaSr. Software Engineer</v>
      </c>
      <c r="P128" s="20">
        <v>45</v>
      </c>
      <c r="Q128" s="20">
        <v>13</v>
      </c>
      <c r="R128" s="19" t="s">
        <v>946</v>
      </c>
      <c r="S128" s="17"/>
      <c r="W128" s="19" t="str">
        <v>ERP_Practice_ArgentinaFunctional Lead</v>
      </c>
      <c r="BO128"/>
      <c r="BP128"/>
    </row>
    <row r="129" spans="1:68" x14ac:dyDescent="0.25">
      <c r="A129" s="19" t="s">
        <v>1014</v>
      </c>
      <c r="B129" s="19"/>
      <c r="C129" s="19"/>
      <c r="D129" s="19"/>
      <c r="E129" s="19"/>
      <c r="F129" s="19"/>
      <c r="G129" s="206" t="s">
        <v>346</v>
      </c>
      <c r="H129" s="206" t="s">
        <v>349</v>
      </c>
      <c r="I129" s="46" t="str">
        <f t="shared" si="14"/>
        <v>ERP_Practice_ArgentinaSr. Functional Lead</v>
      </c>
      <c r="J129" s="207" t="s">
        <v>96</v>
      </c>
      <c r="K129" s="206" t="s">
        <v>1007</v>
      </c>
      <c r="M129" s="19" t="s">
        <v>360</v>
      </c>
      <c r="N129" t="s">
        <v>216</v>
      </c>
      <c r="O129" s="19" t="str">
        <f t="shared" si="16"/>
        <v>ERP_Practice_IndiaApplication Developer</v>
      </c>
      <c r="P129" s="20">
        <v>55</v>
      </c>
      <c r="Q129" s="20">
        <v>15</v>
      </c>
      <c r="R129" s="19" t="s">
        <v>946</v>
      </c>
      <c r="S129" s="17"/>
      <c r="W129" s="19" t="str">
        <v>ERP_Practice_ArgentinaSr. Functional Lead</v>
      </c>
      <c r="BO129"/>
      <c r="BP129"/>
    </row>
    <row r="130" spans="1:68" x14ac:dyDescent="0.25">
      <c r="A130" s="19" t="s">
        <v>1015</v>
      </c>
      <c r="B130" s="19"/>
      <c r="C130" s="19"/>
      <c r="D130" s="19"/>
      <c r="E130" s="19"/>
      <c r="F130" s="19"/>
      <c r="G130" s="206" t="s">
        <v>353</v>
      </c>
      <c r="H130" s="206" t="s">
        <v>200</v>
      </c>
      <c r="I130" s="46" t="str">
        <f t="shared" si="14"/>
        <v>ERP_Practice_BrazilProject Manager</v>
      </c>
      <c r="J130" s="207" t="s">
        <v>96</v>
      </c>
      <c r="K130" s="206" t="s">
        <v>1016</v>
      </c>
      <c r="M130" s="19" t="s">
        <v>360</v>
      </c>
      <c r="N130" t="s">
        <v>272</v>
      </c>
      <c r="O130" s="19" t="str">
        <f t="shared" si="16"/>
        <v>ERP_Practice_IndiaSr. Application Developer</v>
      </c>
      <c r="P130" s="20">
        <v>65</v>
      </c>
      <c r="Q130" s="20">
        <v>17</v>
      </c>
      <c r="R130" s="19" t="s">
        <v>946</v>
      </c>
      <c r="S130" s="17"/>
      <c r="W130" s="19" t="str">
        <v>ERP_Practice_BrazilProject Manager</v>
      </c>
      <c r="BO130"/>
      <c r="BP130"/>
    </row>
    <row r="131" spans="1:68" x14ac:dyDescent="0.25">
      <c r="A131" s="19" t="s">
        <v>1017</v>
      </c>
      <c r="B131" s="19"/>
      <c r="C131" s="19"/>
      <c r="D131" s="19"/>
      <c r="E131" s="19"/>
      <c r="F131" s="19"/>
      <c r="G131" s="206" t="s">
        <v>353</v>
      </c>
      <c r="H131" s="206" t="s">
        <v>95</v>
      </c>
      <c r="I131" s="46" t="str">
        <f t="shared" si="14"/>
        <v>ERP_Practice_BrazilSr. Project Manager</v>
      </c>
      <c r="J131" s="207" t="s">
        <v>96</v>
      </c>
      <c r="K131" s="206" t="s">
        <v>1016</v>
      </c>
      <c r="M131" s="19" t="s">
        <v>360</v>
      </c>
      <c r="N131" t="s">
        <v>307</v>
      </c>
      <c r="O131" s="19" t="str">
        <f t="shared" si="16"/>
        <v>ERP_Practice_IndiaApplication Lead</v>
      </c>
      <c r="P131" s="20">
        <v>75</v>
      </c>
      <c r="Q131" s="20">
        <v>22</v>
      </c>
      <c r="R131" s="19" t="s">
        <v>946</v>
      </c>
      <c r="S131" s="17"/>
      <c r="W131" s="19" t="str">
        <v>ERP_Practice_BrazilSr. Project Manager</v>
      </c>
      <c r="BO131"/>
      <c r="BP131"/>
    </row>
    <row r="132" spans="1:68" x14ac:dyDescent="0.25">
      <c r="A132" s="19" t="s">
        <v>1018</v>
      </c>
      <c r="B132" s="19"/>
      <c r="C132" s="19"/>
      <c r="D132" s="19"/>
      <c r="E132" s="19"/>
      <c r="F132" s="19"/>
      <c r="G132" s="206" t="s">
        <v>353</v>
      </c>
      <c r="H132" s="206" t="s">
        <v>216</v>
      </c>
      <c r="I132" s="46" t="str">
        <f t="shared" ref="I132" si="17">_xlfn.CONCAT(G132,H132)</f>
        <v>ERP_Practice_BrazilApplication Developer</v>
      </c>
      <c r="J132" s="207" t="s">
        <v>96</v>
      </c>
      <c r="K132" s="206" t="s">
        <v>1016</v>
      </c>
      <c r="M132" s="19" t="s">
        <v>360</v>
      </c>
      <c r="N132" t="s">
        <v>219</v>
      </c>
      <c r="O132" s="19" t="str">
        <f t="shared" si="16"/>
        <v>ERP_Practice_IndiaSr. Application Lead</v>
      </c>
      <c r="P132" s="20">
        <v>85</v>
      </c>
      <c r="Q132" s="20">
        <v>27</v>
      </c>
      <c r="R132" s="19" t="s">
        <v>946</v>
      </c>
      <c r="S132" s="17"/>
      <c r="W132" s="19" t="str">
        <v>ERP_Practice_BrazilApplication Developer</v>
      </c>
      <c r="BO132"/>
      <c r="BP132"/>
    </row>
    <row r="133" spans="1:68" x14ac:dyDescent="0.25">
      <c r="A133" s="19" t="s">
        <v>1019</v>
      </c>
      <c r="B133" s="19"/>
      <c r="C133" s="19"/>
      <c r="D133" s="19"/>
      <c r="E133" s="19"/>
      <c r="F133" s="19"/>
      <c r="G133" s="206" t="s">
        <v>353</v>
      </c>
      <c r="H133" s="206" t="s">
        <v>272</v>
      </c>
      <c r="I133" s="46" t="str">
        <f t="shared" si="14"/>
        <v>ERP_Practice_BrazilSr. Application Developer</v>
      </c>
      <c r="J133" s="207" t="s">
        <v>96</v>
      </c>
      <c r="K133" s="206" t="s">
        <v>1016</v>
      </c>
      <c r="M133" s="19" t="s">
        <v>360</v>
      </c>
      <c r="N133" t="s">
        <v>313</v>
      </c>
      <c r="O133" s="19" t="str">
        <f t="shared" si="16"/>
        <v>ERP_Practice_IndiaSolution Architect</v>
      </c>
      <c r="P133" s="20">
        <v>95</v>
      </c>
      <c r="Q133" s="20">
        <v>32</v>
      </c>
      <c r="R133" s="19" t="s">
        <v>946</v>
      </c>
      <c r="S133" s="17"/>
      <c r="W133" s="19" t="str">
        <v>ERP_Practice_BrazilSr. Application Developer</v>
      </c>
      <c r="BO133"/>
      <c r="BP133"/>
    </row>
    <row r="134" spans="1:68" x14ac:dyDescent="0.25">
      <c r="A134" s="19" t="s">
        <v>1020</v>
      </c>
      <c r="B134" s="19"/>
      <c r="C134" s="19"/>
      <c r="D134" s="19"/>
      <c r="E134" s="19"/>
      <c r="F134" s="19"/>
      <c r="G134" s="206" t="s">
        <v>353</v>
      </c>
      <c r="H134" s="206" t="s">
        <v>307</v>
      </c>
      <c r="I134" s="46" t="str">
        <f t="shared" si="14"/>
        <v>ERP_Practice_BrazilApplication Lead</v>
      </c>
      <c r="J134" s="207" t="s">
        <v>96</v>
      </c>
      <c r="K134" s="206" t="s">
        <v>1016</v>
      </c>
      <c r="M134" s="19" t="s">
        <v>360</v>
      </c>
      <c r="N134" t="s">
        <v>241</v>
      </c>
      <c r="O134" s="19" t="str">
        <f t="shared" si="16"/>
        <v>ERP_Practice_IndiaSr. Solution Architect</v>
      </c>
      <c r="P134" s="20">
        <v>105</v>
      </c>
      <c r="Q134" s="20">
        <v>37</v>
      </c>
      <c r="R134" s="19" t="s">
        <v>946</v>
      </c>
      <c r="S134" s="17"/>
      <c r="W134" s="19" t="str">
        <v>ERP_Practice_BrazilApplication Lead</v>
      </c>
      <c r="BO134"/>
      <c r="BP134"/>
    </row>
    <row r="135" spans="1:68" x14ac:dyDescent="0.25">
      <c r="A135" s="19" t="s">
        <v>1021</v>
      </c>
      <c r="B135" s="19"/>
      <c r="C135" s="19"/>
      <c r="D135" s="19"/>
      <c r="E135" s="19"/>
      <c r="F135" s="19"/>
      <c r="G135" s="206" t="s">
        <v>353</v>
      </c>
      <c r="H135" s="206" t="s">
        <v>219</v>
      </c>
      <c r="I135" s="46" t="str">
        <f t="shared" si="14"/>
        <v>ERP_Practice_BrazilSr. Application Lead</v>
      </c>
      <c r="J135" s="207" t="s">
        <v>96</v>
      </c>
      <c r="K135" s="206" t="s">
        <v>1016</v>
      </c>
      <c r="M135" s="19"/>
      <c r="N135" s="19"/>
      <c r="O135" s="19"/>
      <c r="P135" s="21"/>
      <c r="Q135" s="21"/>
      <c r="R135" s="19"/>
      <c r="S135" s="17"/>
      <c r="W135" s="19" t="str">
        <v>ERP_Practice_BrazilSr. Application Lead</v>
      </c>
      <c r="BO135"/>
      <c r="BP135"/>
    </row>
    <row r="136" spans="1:68" x14ac:dyDescent="0.25">
      <c r="A136" s="19" t="s">
        <v>1022</v>
      </c>
      <c r="B136" s="19"/>
      <c r="C136" s="19"/>
      <c r="D136" s="19"/>
      <c r="E136" s="19"/>
      <c r="F136" s="19"/>
      <c r="G136" s="206" t="s">
        <v>353</v>
      </c>
      <c r="H136" s="206" t="s">
        <v>305</v>
      </c>
      <c r="I136" s="46" t="str">
        <f t="shared" si="14"/>
        <v>ERP_Practice_BrazilFunctional Lead</v>
      </c>
      <c r="J136" s="207" t="s">
        <v>96</v>
      </c>
      <c r="K136" s="206" t="s">
        <v>1016</v>
      </c>
      <c r="M136" s="19" t="s">
        <v>346</v>
      </c>
      <c r="N136" s="19" t="s">
        <v>200</v>
      </c>
      <c r="O136" s="19" t="str">
        <f t="shared" ref="O136:O155" si="18">_xlfn.CONCAT(M136,N136)</f>
        <v>ERP_Practice_ArgentinaProject Manager</v>
      </c>
      <c r="P136" s="21">
        <v>80</v>
      </c>
      <c r="Q136" s="21">
        <v>62.5</v>
      </c>
      <c r="R136" s="19" t="s">
        <v>1007</v>
      </c>
      <c r="S136" s="17"/>
      <c r="W136" s="19" t="str">
        <v>ERP_Practice_BrazilFunctional Lead</v>
      </c>
      <c r="BO136"/>
      <c r="BP136"/>
    </row>
    <row r="137" spans="1:68" x14ac:dyDescent="0.25">
      <c r="A137" s="19" t="s">
        <v>1023</v>
      </c>
      <c r="B137" s="19"/>
      <c r="C137" s="19"/>
      <c r="D137" s="19"/>
      <c r="E137" s="19"/>
      <c r="F137" s="19"/>
      <c r="G137" s="206" t="s">
        <v>353</v>
      </c>
      <c r="H137" s="206" t="s">
        <v>349</v>
      </c>
      <c r="I137" s="46" t="str">
        <f t="shared" si="14"/>
        <v>ERP_Practice_BrazilSr. Functional Lead</v>
      </c>
      <c r="J137" s="207" t="s">
        <v>96</v>
      </c>
      <c r="K137" s="206" t="s">
        <v>1016</v>
      </c>
      <c r="M137" s="19" t="s">
        <v>346</v>
      </c>
      <c r="N137" s="19" t="s">
        <v>95</v>
      </c>
      <c r="O137" s="19" t="str">
        <f t="shared" si="18"/>
        <v>ERP_Practice_ArgentinaSr. Project Manager</v>
      </c>
      <c r="P137" s="21">
        <v>100</v>
      </c>
      <c r="Q137" s="21">
        <v>72.5</v>
      </c>
      <c r="R137" s="19" t="s">
        <v>1007</v>
      </c>
      <c r="S137" s="17"/>
      <c r="W137" s="19" t="str">
        <v>ERP_Practice_BrazilSr. Functional Lead</v>
      </c>
      <c r="BO137"/>
      <c r="BP137"/>
    </row>
    <row r="138" spans="1:68" x14ac:dyDescent="0.25">
      <c r="A138" s="19" t="s">
        <v>1024</v>
      </c>
      <c r="B138" s="19"/>
      <c r="C138" s="19"/>
      <c r="D138" s="19"/>
      <c r="E138" s="19"/>
      <c r="F138" s="19"/>
      <c r="G138" s="206" t="s">
        <v>355</v>
      </c>
      <c r="H138" s="206" t="s">
        <v>95</v>
      </c>
      <c r="I138" s="46" t="str">
        <f t="shared" si="14"/>
        <v>ERP_Practice_CzechRepublicSr. Project Manager</v>
      </c>
      <c r="J138" s="207" t="s">
        <v>96</v>
      </c>
      <c r="K138" s="206" t="s">
        <v>1025</v>
      </c>
      <c r="M138" s="19" t="s">
        <v>346</v>
      </c>
      <c r="N138" s="19" t="s">
        <v>216</v>
      </c>
      <c r="O138" s="19" t="str">
        <f t="shared" si="18"/>
        <v>ERP_Practice_ArgentinaApplication Developer</v>
      </c>
      <c r="P138" s="21">
        <v>90</v>
      </c>
      <c r="Q138" s="21">
        <v>67.5</v>
      </c>
      <c r="R138" s="19" t="s">
        <v>1007</v>
      </c>
      <c r="S138" s="17"/>
      <c r="W138" s="19" t="str">
        <v>ERP_Practice_CzechRepublicSr. Project Manager</v>
      </c>
      <c r="BO138"/>
      <c r="BP138"/>
    </row>
    <row r="139" spans="1:68" x14ac:dyDescent="0.25">
      <c r="A139" s="19" t="s">
        <v>1026</v>
      </c>
      <c r="B139" s="19"/>
      <c r="C139" s="19"/>
      <c r="D139" s="19"/>
      <c r="E139" s="19"/>
      <c r="F139" s="19"/>
      <c r="G139" s="206" t="s">
        <v>357</v>
      </c>
      <c r="H139" s="206" t="s">
        <v>200</v>
      </c>
      <c r="I139" s="46" t="str">
        <f t="shared" si="14"/>
        <v>ERP_Practice_GermanyProject Manager</v>
      </c>
      <c r="J139" s="207" t="s">
        <v>96</v>
      </c>
      <c r="K139" s="206" t="s">
        <v>1027</v>
      </c>
      <c r="M139" s="19" t="s">
        <v>346</v>
      </c>
      <c r="N139" s="19" t="s">
        <v>272</v>
      </c>
      <c r="O139" s="19" t="str">
        <f t="shared" si="18"/>
        <v>ERP_Practice_ArgentinaSr. Application Developer</v>
      </c>
      <c r="P139" s="21">
        <v>100</v>
      </c>
      <c r="Q139" s="21">
        <v>72.5</v>
      </c>
      <c r="R139" s="19" t="s">
        <v>1007</v>
      </c>
      <c r="S139" s="17"/>
      <c r="W139" s="19" t="str">
        <v>ERP_Practice_GermanyProject Manager</v>
      </c>
      <c r="BO139"/>
      <c r="BP139"/>
    </row>
    <row r="140" spans="1:68" x14ac:dyDescent="0.25">
      <c r="A140" s="19" t="s">
        <v>1028</v>
      </c>
      <c r="B140" s="19"/>
      <c r="C140" s="19"/>
      <c r="D140" s="19"/>
      <c r="E140" s="19"/>
      <c r="F140" s="19"/>
      <c r="G140" s="206" t="s">
        <v>357</v>
      </c>
      <c r="H140" s="206" t="s">
        <v>358</v>
      </c>
      <c r="I140" s="46" t="str">
        <f t="shared" si="14"/>
        <v>ERP_Practice_GermanyPrincipal</v>
      </c>
      <c r="J140" s="207" t="s">
        <v>96</v>
      </c>
      <c r="K140" s="206" t="s">
        <v>1027</v>
      </c>
      <c r="M140" s="19" t="s">
        <v>346</v>
      </c>
      <c r="N140" s="19" t="s">
        <v>307</v>
      </c>
      <c r="O140" s="19" t="str">
        <f t="shared" si="18"/>
        <v>ERP_Practice_ArgentinaApplication Lead</v>
      </c>
      <c r="P140" s="21">
        <v>105</v>
      </c>
      <c r="Q140" s="21">
        <v>72.5</v>
      </c>
      <c r="R140" s="19" t="s">
        <v>1007</v>
      </c>
      <c r="S140" s="17"/>
      <c r="W140" s="19" t="str">
        <v>ERP_Practice_GermanyPrincipal</v>
      </c>
      <c r="BO140"/>
      <c r="BP140"/>
    </row>
    <row r="141" spans="1:68" x14ac:dyDescent="0.25">
      <c r="A141" s="19" t="s">
        <v>1029</v>
      </c>
      <c r="B141" s="19"/>
      <c r="C141" s="19"/>
      <c r="D141" s="19"/>
      <c r="E141" s="19"/>
      <c r="F141" s="19"/>
      <c r="G141" s="206" t="s">
        <v>1030</v>
      </c>
      <c r="H141" s="206" t="s">
        <v>216</v>
      </c>
      <c r="I141" s="46" t="str">
        <f t="shared" si="14"/>
        <v>ERP_Practice_ItalyApplication Developer</v>
      </c>
      <c r="J141" s="207" t="s">
        <v>96</v>
      </c>
      <c r="K141" s="206" t="s">
        <v>1031</v>
      </c>
      <c r="M141" s="19" t="s">
        <v>346</v>
      </c>
      <c r="N141" s="19" t="s">
        <v>219</v>
      </c>
      <c r="O141" s="19" t="str">
        <f t="shared" si="18"/>
        <v>ERP_Practice_ArgentinaSr. Application Lead</v>
      </c>
      <c r="P141" s="21">
        <v>115</v>
      </c>
      <c r="Q141" s="21">
        <v>77.5</v>
      </c>
      <c r="R141" s="19" t="s">
        <v>1007</v>
      </c>
      <c r="S141" s="17"/>
      <c r="W141" s="19" t="str">
        <v>ERP_Practice_ItalyApplication Developer</v>
      </c>
      <c r="BO141"/>
      <c r="BP141"/>
    </row>
    <row r="142" spans="1:68" x14ac:dyDescent="0.25">
      <c r="A142" s="19" t="s">
        <v>1032</v>
      </c>
      <c r="B142" s="19"/>
      <c r="C142" s="19"/>
      <c r="D142" s="19"/>
      <c r="E142" s="19"/>
      <c r="F142" s="19"/>
      <c r="G142" s="206" t="s">
        <v>1030</v>
      </c>
      <c r="H142" s="206" t="s">
        <v>272</v>
      </c>
      <c r="I142" s="46" t="str">
        <f t="shared" si="14"/>
        <v>ERP_Practice_ItalySr. Application Developer</v>
      </c>
      <c r="J142" s="207" t="s">
        <v>96</v>
      </c>
      <c r="K142" s="206" t="s">
        <v>1031</v>
      </c>
      <c r="M142" s="19" t="s">
        <v>346</v>
      </c>
      <c r="N142" s="19" t="s">
        <v>305</v>
      </c>
      <c r="O142" s="19" t="str">
        <f t="shared" si="18"/>
        <v>ERP_Practice_ArgentinaFunctional Lead</v>
      </c>
      <c r="P142" s="21">
        <v>100</v>
      </c>
      <c r="Q142" s="21">
        <v>82.5</v>
      </c>
      <c r="R142" s="19" t="s">
        <v>1007</v>
      </c>
      <c r="S142" s="17"/>
      <c r="W142" s="19" t="str">
        <v>ERP_Practice_ItalySr. Application Developer</v>
      </c>
      <c r="BO142"/>
      <c r="BP142"/>
    </row>
    <row r="143" spans="1:68" x14ac:dyDescent="0.25">
      <c r="A143" s="19" t="s">
        <v>1033</v>
      </c>
      <c r="B143" s="19"/>
      <c r="C143" s="19"/>
      <c r="D143" s="19"/>
      <c r="E143" s="19"/>
      <c r="F143" s="19"/>
      <c r="G143" s="206" t="s">
        <v>1030</v>
      </c>
      <c r="H143" s="206" t="s">
        <v>305</v>
      </c>
      <c r="I143" s="46" t="str">
        <f t="shared" si="14"/>
        <v>ERP_Practice_ItalyFunctional Lead</v>
      </c>
      <c r="J143" s="207" t="s">
        <v>96</v>
      </c>
      <c r="K143" s="206" t="s">
        <v>1031</v>
      </c>
      <c r="M143" s="19" t="s">
        <v>346</v>
      </c>
      <c r="N143" s="19" t="s">
        <v>349</v>
      </c>
      <c r="O143" s="19" t="str">
        <f t="shared" si="18"/>
        <v>ERP_Practice_ArgentinaSr. Functional Lead</v>
      </c>
      <c r="P143" s="21">
        <v>120</v>
      </c>
      <c r="Q143" s="21">
        <v>87.5</v>
      </c>
      <c r="R143" s="19" t="s">
        <v>1007</v>
      </c>
      <c r="S143" s="17"/>
      <c r="W143" s="19" t="str">
        <v>ERP_Practice_ItalyFunctional Lead</v>
      </c>
      <c r="BO143"/>
      <c r="BP143"/>
    </row>
    <row r="144" spans="1:68" x14ac:dyDescent="0.25">
      <c r="A144" s="19" t="s">
        <v>1034</v>
      </c>
      <c r="B144" s="19"/>
      <c r="C144" s="19"/>
      <c r="D144" s="19"/>
      <c r="E144" s="19"/>
      <c r="F144" s="19"/>
      <c r="G144" s="206" t="s">
        <v>1030</v>
      </c>
      <c r="H144" s="206" t="s">
        <v>470</v>
      </c>
      <c r="I144" s="46" t="str">
        <f t="shared" si="14"/>
        <v>ERP_Practice_ItalyTechnical Lead</v>
      </c>
      <c r="J144" s="207" t="s">
        <v>96</v>
      </c>
      <c r="K144" s="206" t="s">
        <v>1031</v>
      </c>
      <c r="M144" s="19"/>
      <c r="N144" s="19"/>
      <c r="O144" s="19" t="str">
        <f t="shared" si="18"/>
        <v/>
      </c>
      <c r="P144" s="21"/>
      <c r="Q144" s="21"/>
      <c r="R144" s="19"/>
      <c r="S144" s="17"/>
      <c r="W144" s="19" t="str">
        <v>ERP_Practice_ItalyTechnical Lead</v>
      </c>
      <c r="BO144"/>
      <c r="BP144"/>
    </row>
    <row r="145" spans="1:68" x14ac:dyDescent="0.25">
      <c r="A145" s="19" t="s">
        <v>1035</v>
      </c>
      <c r="B145" s="19"/>
      <c r="C145" s="19"/>
      <c r="D145" s="19"/>
      <c r="E145" s="19"/>
      <c r="F145" s="19"/>
      <c r="G145" s="206" t="s">
        <v>1030</v>
      </c>
      <c r="H145" s="206" t="s">
        <v>349</v>
      </c>
      <c r="I145" s="46" t="str">
        <f t="shared" si="14"/>
        <v>ERP_Practice_ItalySr. Functional Lead</v>
      </c>
      <c r="J145" s="207" t="s">
        <v>96</v>
      </c>
      <c r="K145" s="206" t="s">
        <v>1031</v>
      </c>
      <c r="M145" s="19" t="s">
        <v>353</v>
      </c>
      <c r="N145" s="19" t="s">
        <v>200</v>
      </c>
      <c r="O145" s="19" t="str">
        <f t="shared" si="18"/>
        <v>ERP_Practice_BrazilProject Manager</v>
      </c>
      <c r="P145" s="21">
        <v>80</v>
      </c>
      <c r="Q145" s="21">
        <v>40</v>
      </c>
      <c r="R145" s="19" t="s">
        <v>1016</v>
      </c>
      <c r="S145" s="17"/>
      <c r="W145" s="19" t="str">
        <v>ERP_Practice_ItalySr. Functional Lead</v>
      </c>
      <c r="BO145"/>
      <c r="BP145"/>
    </row>
    <row r="146" spans="1:68" x14ac:dyDescent="0.25">
      <c r="A146" s="19" t="s">
        <v>1036</v>
      </c>
      <c r="B146" s="19"/>
      <c r="C146" s="19"/>
      <c r="D146" s="19"/>
      <c r="E146" s="19"/>
      <c r="F146" s="19"/>
      <c r="G146" s="206" t="s">
        <v>1030</v>
      </c>
      <c r="H146" s="206" t="s">
        <v>504</v>
      </c>
      <c r="I146" s="46" t="str">
        <f t="shared" si="14"/>
        <v>ERP_Practice_ItalySr. Technical Lead</v>
      </c>
      <c r="J146" s="207" t="s">
        <v>96</v>
      </c>
      <c r="K146" s="206" t="s">
        <v>1031</v>
      </c>
      <c r="M146" s="19" t="s">
        <v>353</v>
      </c>
      <c r="N146" s="19" t="s">
        <v>95</v>
      </c>
      <c r="O146" s="19" t="str">
        <f t="shared" si="18"/>
        <v>ERP_Practice_BrazilSr. Project Manager</v>
      </c>
      <c r="P146" s="21">
        <v>100</v>
      </c>
      <c r="Q146" s="21">
        <v>50</v>
      </c>
      <c r="R146" s="19" t="s">
        <v>1016</v>
      </c>
      <c r="S146" s="17"/>
      <c r="W146" s="19" t="str">
        <v>ERP_Practice_ItalySr. Technical Lead</v>
      </c>
      <c r="BO146"/>
      <c r="BP146"/>
    </row>
    <row r="147" spans="1:68" x14ac:dyDescent="0.25">
      <c r="A147" s="19" t="s">
        <v>1037</v>
      </c>
      <c r="B147" s="19"/>
      <c r="C147" s="19"/>
      <c r="D147" s="19"/>
      <c r="E147" s="19"/>
      <c r="F147" s="19"/>
      <c r="G147" s="206" t="s">
        <v>1030</v>
      </c>
      <c r="H147" s="206" t="s">
        <v>313</v>
      </c>
      <c r="I147" s="46" t="str">
        <f t="shared" si="14"/>
        <v>ERP_Practice_ItalySolution Architect</v>
      </c>
      <c r="J147" s="207" t="s">
        <v>96</v>
      </c>
      <c r="K147" s="206" t="s">
        <v>1031</v>
      </c>
      <c r="M147" s="19" t="s">
        <v>353</v>
      </c>
      <c r="N147" s="19" t="s">
        <v>216</v>
      </c>
      <c r="O147" s="19" t="str">
        <f t="shared" si="18"/>
        <v>ERP_Practice_BrazilApplication Developer</v>
      </c>
      <c r="P147" s="21">
        <v>90</v>
      </c>
      <c r="Q147" s="21">
        <v>45</v>
      </c>
      <c r="R147" s="19" t="s">
        <v>1016</v>
      </c>
      <c r="S147" s="17"/>
      <c r="W147" s="19" t="str">
        <v>ERP_Practice_ItalySolution Architect</v>
      </c>
      <c r="BO147"/>
      <c r="BP147"/>
    </row>
    <row r="148" spans="1:68" x14ac:dyDescent="0.25">
      <c r="A148" s="19" t="s">
        <v>1038</v>
      </c>
      <c r="B148" s="19"/>
      <c r="C148" s="19"/>
      <c r="D148" s="19"/>
      <c r="E148" s="19"/>
      <c r="F148" s="19"/>
      <c r="G148" s="206" t="s">
        <v>1030</v>
      </c>
      <c r="H148" s="206" t="s">
        <v>241</v>
      </c>
      <c r="I148" s="46" t="str">
        <f t="shared" si="14"/>
        <v>ERP_Practice_ItalySr. Solution Architect</v>
      </c>
      <c r="J148" s="207" t="s">
        <v>96</v>
      </c>
      <c r="K148" s="206" t="s">
        <v>1031</v>
      </c>
      <c r="M148" s="19" t="s">
        <v>353</v>
      </c>
      <c r="N148" s="19" t="s">
        <v>272</v>
      </c>
      <c r="O148" s="19" t="str">
        <f t="shared" si="18"/>
        <v>ERP_Practice_BrazilSr. Application Developer</v>
      </c>
      <c r="P148" s="21">
        <v>100</v>
      </c>
      <c r="Q148" s="21">
        <v>50</v>
      </c>
      <c r="R148" s="19" t="s">
        <v>1016</v>
      </c>
      <c r="S148" s="17"/>
      <c r="W148" s="19" t="str">
        <v>ERP_Practice_ItalySr. Solution Architect</v>
      </c>
      <c r="BO148"/>
      <c r="BP148"/>
    </row>
    <row r="149" spans="1:68" x14ac:dyDescent="0.25">
      <c r="A149" s="19" t="s">
        <v>1039</v>
      </c>
      <c r="B149" s="19"/>
      <c r="C149" s="19"/>
      <c r="D149" s="19"/>
      <c r="E149" s="19"/>
      <c r="F149" s="19"/>
      <c r="G149" s="206" t="s">
        <v>373</v>
      </c>
      <c r="H149" s="206" t="s">
        <v>407</v>
      </c>
      <c r="I149" s="46" t="str">
        <f t="shared" si="14"/>
        <v>ERP_Practice_MexicoProject Coordinator</v>
      </c>
      <c r="J149" s="207" t="s">
        <v>96</v>
      </c>
      <c r="K149" s="206" t="s">
        <v>1040</v>
      </c>
      <c r="M149" s="19" t="s">
        <v>353</v>
      </c>
      <c r="N149" s="19" t="s">
        <v>307</v>
      </c>
      <c r="O149" s="19" t="str">
        <f t="shared" si="18"/>
        <v>ERP_Practice_BrazilApplication Lead</v>
      </c>
      <c r="P149" s="21">
        <v>105</v>
      </c>
      <c r="Q149" s="21">
        <v>55</v>
      </c>
      <c r="R149" s="19" t="s">
        <v>1016</v>
      </c>
      <c r="S149" s="17"/>
      <c r="W149" s="19" t="str">
        <v>ERP_Practice_MexicoProject Coordinator</v>
      </c>
      <c r="BO149"/>
      <c r="BP149"/>
    </row>
    <row r="150" spans="1:68" x14ac:dyDescent="0.25">
      <c r="A150" s="19" t="s">
        <v>1041</v>
      </c>
      <c r="B150" s="19"/>
      <c r="C150" s="19"/>
      <c r="D150" s="19"/>
      <c r="E150" s="19"/>
      <c r="F150" s="19"/>
      <c r="G150" s="206" t="s">
        <v>373</v>
      </c>
      <c r="H150" s="206" t="s">
        <v>200</v>
      </c>
      <c r="I150" s="46" t="str">
        <f t="shared" si="14"/>
        <v>ERP_Practice_MexicoProject Manager</v>
      </c>
      <c r="J150" s="207" t="s">
        <v>96</v>
      </c>
      <c r="K150" s="206" t="s">
        <v>1040</v>
      </c>
      <c r="M150" s="19" t="s">
        <v>353</v>
      </c>
      <c r="N150" s="19" t="s">
        <v>219</v>
      </c>
      <c r="O150" s="19" t="str">
        <f t="shared" si="18"/>
        <v>ERP_Practice_BrazilSr. Application Lead</v>
      </c>
      <c r="P150" s="21">
        <v>115</v>
      </c>
      <c r="Q150" s="21">
        <v>60</v>
      </c>
      <c r="R150" s="19" t="s">
        <v>1016</v>
      </c>
      <c r="S150" s="17"/>
      <c r="W150" s="19" t="str">
        <v>ERP_Practice_MexicoProject Manager</v>
      </c>
      <c r="BO150"/>
      <c r="BP150"/>
    </row>
    <row r="151" spans="1:68" x14ac:dyDescent="0.25">
      <c r="A151" s="19" t="s">
        <v>1042</v>
      </c>
      <c r="B151" s="19"/>
      <c r="C151" s="19"/>
      <c r="D151" s="19"/>
      <c r="E151" s="19"/>
      <c r="F151" s="19"/>
      <c r="G151" s="206" t="s">
        <v>373</v>
      </c>
      <c r="H151" s="206" t="s">
        <v>95</v>
      </c>
      <c r="I151" s="46" t="str">
        <f t="shared" si="14"/>
        <v>ERP_Practice_MexicoSr. Project Manager</v>
      </c>
      <c r="J151" s="207" t="s">
        <v>96</v>
      </c>
      <c r="K151" s="206" t="s">
        <v>1040</v>
      </c>
      <c r="M151" s="19" t="s">
        <v>353</v>
      </c>
      <c r="N151" s="19" t="s">
        <v>305</v>
      </c>
      <c r="O151" s="19" t="str">
        <f t="shared" si="18"/>
        <v>ERP_Practice_BrazilFunctional Lead</v>
      </c>
      <c r="P151" s="21">
        <v>100</v>
      </c>
      <c r="Q151" s="21">
        <v>50</v>
      </c>
      <c r="R151" s="19" t="s">
        <v>1016</v>
      </c>
      <c r="S151" s="18"/>
      <c r="W151" s="19" t="str">
        <v>ERP_Practice_MexicoSr. Project Manager</v>
      </c>
      <c r="BO151"/>
      <c r="BP151"/>
    </row>
    <row r="152" spans="1:68" x14ac:dyDescent="0.25">
      <c r="A152" s="19" t="s">
        <v>1043</v>
      </c>
      <c r="B152" s="19"/>
      <c r="C152" s="19"/>
      <c r="D152" s="19"/>
      <c r="E152" s="19"/>
      <c r="F152" s="19"/>
      <c r="G152" s="206" t="s">
        <v>373</v>
      </c>
      <c r="H152" s="206" t="s">
        <v>216</v>
      </c>
      <c r="I152" s="46" t="str">
        <f t="shared" si="14"/>
        <v>ERP_Practice_MexicoApplication Developer</v>
      </c>
      <c r="J152" s="207" t="s">
        <v>96</v>
      </c>
      <c r="K152" s="206" t="s">
        <v>1040</v>
      </c>
      <c r="M152" s="19" t="s">
        <v>353</v>
      </c>
      <c r="N152" s="19" t="s">
        <v>349</v>
      </c>
      <c r="O152" s="19" t="str">
        <f t="shared" si="18"/>
        <v>ERP_Practice_BrazilSr. Functional Lead</v>
      </c>
      <c r="P152" s="21">
        <v>115</v>
      </c>
      <c r="Q152" s="21">
        <v>60</v>
      </c>
      <c r="R152" s="19" t="s">
        <v>1016</v>
      </c>
      <c r="W152" s="19" t="str">
        <v>ERP_Practice_MexicoApplication Developer</v>
      </c>
      <c r="BO152"/>
      <c r="BP152"/>
    </row>
    <row r="153" spans="1:68" x14ac:dyDescent="0.25">
      <c r="A153" s="19" t="s">
        <v>1044</v>
      </c>
      <c r="B153" s="19"/>
      <c r="C153" s="19"/>
      <c r="D153" s="19"/>
      <c r="E153" s="19"/>
      <c r="F153" s="19"/>
      <c r="G153" s="206" t="s">
        <v>373</v>
      </c>
      <c r="H153" s="206" t="s">
        <v>272</v>
      </c>
      <c r="I153" s="46" t="str">
        <f t="shared" si="14"/>
        <v>ERP_Practice_MexicoSr. Application Developer</v>
      </c>
      <c r="J153" s="207" t="s">
        <v>96</v>
      </c>
      <c r="K153" s="206" t="s">
        <v>1040</v>
      </c>
      <c r="M153" s="19"/>
      <c r="N153" s="19"/>
      <c r="O153" s="19"/>
      <c r="P153" s="21"/>
      <c r="Q153" s="21"/>
      <c r="R153" s="19"/>
      <c r="W153" s="19" t="str">
        <v>ERP_Practice_MexicoSr. Application Developer</v>
      </c>
      <c r="BO153"/>
      <c r="BP153"/>
    </row>
    <row r="154" spans="1:68" x14ac:dyDescent="0.25">
      <c r="A154" s="19" t="s">
        <v>1045</v>
      </c>
      <c r="B154" s="19"/>
      <c r="C154" s="19"/>
      <c r="D154" s="19"/>
      <c r="E154" s="19"/>
      <c r="F154" s="19"/>
      <c r="G154" s="206" t="s">
        <v>373</v>
      </c>
      <c r="H154" s="206" t="s">
        <v>307</v>
      </c>
      <c r="I154" s="46" t="str">
        <f t="shared" si="14"/>
        <v>ERP_Practice_MexicoApplication Lead</v>
      </c>
      <c r="J154" s="207" t="s">
        <v>96</v>
      </c>
      <c r="K154" s="206" t="s">
        <v>1040</v>
      </c>
      <c r="M154" s="19" t="s">
        <v>355</v>
      </c>
      <c r="N154" s="19" t="s">
        <v>95</v>
      </c>
      <c r="O154" s="19" t="str">
        <f t="shared" si="18"/>
        <v>ERP_Practice_CzechRepublicSr. Project Manager</v>
      </c>
      <c r="P154" s="21">
        <v>160</v>
      </c>
      <c r="Q154" s="21">
        <v>88</v>
      </c>
      <c r="R154" s="19" t="s">
        <v>1025</v>
      </c>
      <c r="W154" s="19" t="str">
        <v>ERP_Practice_MexicoApplication Lead</v>
      </c>
      <c r="BO154"/>
      <c r="BP154"/>
    </row>
    <row r="155" spans="1:68" x14ac:dyDescent="0.25">
      <c r="A155" s="19" t="s">
        <v>1046</v>
      </c>
      <c r="B155" s="19"/>
      <c r="C155" s="19"/>
      <c r="D155" s="19"/>
      <c r="E155" s="19"/>
      <c r="F155" s="19"/>
      <c r="G155" s="206" t="s">
        <v>373</v>
      </c>
      <c r="H155" s="206" t="s">
        <v>219</v>
      </c>
      <c r="I155" s="46" t="str">
        <f t="shared" si="14"/>
        <v>ERP_Practice_MexicoSr. Application Lead</v>
      </c>
      <c r="J155" s="207" t="s">
        <v>96</v>
      </c>
      <c r="K155" s="206" t="s">
        <v>1040</v>
      </c>
      <c r="M155" s="19"/>
      <c r="N155" s="19"/>
      <c r="O155" s="19" t="str">
        <f t="shared" si="18"/>
        <v/>
      </c>
      <c r="P155" s="21"/>
      <c r="Q155" s="21"/>
      <c r="R155" s="19"/>
      <c r="W155" s="19" t="str">
        <v>ERP_Practice_MexicoSr. Application Lead</v>
      </c>
      <c r="BO155"/>
      <c r="BP155"/>
    </row>
    <row r="156" spans="1:68" x14ac:dyDescent="0.25">
      <c r="A156" s="19" t="s">
        <v>1047</v>
      </c>
      <c r="B156" s="19"/>
      <c r="C156" s="19"/>
      <c r="D156" s="19"/>
      <c r="E156" s="19"/>
      <c r="F156" s="19"/>
      <c r="G156" s="206" t="s">
        <v>373</v>
      </c>
      <c r="H156" s="206" t="s">
        <v>305</v>
      </c>
      <c r="I156" s="46" t="str">
        <f t="shared" si="14"/>
        <v>ERP_Practice_MexicoFunctional Lead</v>
      </c>
      <c r="J156" s="207" t="s">
        <v>96</v>
      </c>
      <c r="K156" s="206" t="s">
        <v>1040</v>
      </c>
      <c r="M156" s="19" t="s">
        <v>357</v>
      </c>
      <c r="N156" s="19" t="s">
        <v>200</v>
      </c>
      <c r="O156" s="19" t="str">
        <f>_xlfn.CONCAT(M156,N156)</f>
        <v>ERP_Practice_GermanyProject Manager</v>
      </c>
      <c r="P156" s="21">
        <v>265</v>
      </c>
      <c r="Q156" s="21">
        <v>170</v>
      </c>
      <c r="R156" s="19" t="s">
        <v>1027</v>
      </c>
      <c r="W156" s="19" t="str">
        <v>ERP_Practice_MexicoFunctional Lead</v>
      </c>
      <c r="BO156"/>
      <c r="BP156"/>
    </row>
    <row r="157" spans="1:68" x14ac:dyDescent="0.25">
      <c r="A157" s="19" t="s">
        <v>1048</v>
      </c>
      <c r="B157" s="19"/>
      <c r="C157" s="19"/>
      <c r="D157" s="19"/>
      <c r="E157" s="19"/>
      <c r="F157" s="19"/>
      <c r="G157" s="206" t="s">
        <v>373</v>
      </c>
      <c r="H157" s="206" t="s">
        <v>349</v>
      </c>
      <c r="I157" s="46" t="str">
        <f t="shared" si="14"/>
        <v>ERP_Practice_MexicoSr. Functional Lead</v>
      </c>
      <c r="J157" s="207" t="s">
        <v>96</v>
      </c>
      <c r="K157" s="206" t="s">
        <v>1040</v>
      </c>
      <c r="M157" s="19" t="s">
        <v>357</v>
      </c>
      <c r="N157" s="19" t="s">
        <v>358</v>
      </c>
      <c r="O157" s="19" t="str">
        <f>_xlfn.CONCAT(M157,N157)</f>
        <v>ERP_Practice_GermanyPrincipal</v>
      </c>
      <c r="P157" s="21">
        <v>365</v>
      </c>
      <c r="Q157" s="21">
        <v>235</v>
      </c>
      <c r="R157" s="19" t="s">
        <v>1027</v>
      </c>
      <c r="W157" s="19" t="str">
        <v>ERP_Practice_MexicoSr. Functional Lead</v>
      </c>
      <c r="BO157"/>
      <c r="BP157"/>
    </row>
    <row r="158" spans="1:68" x14ac:dyDescent="0.25">
      <c r="A158" s="19" t="s">
        <v>1049</v>
      </c>
      <c r="B158" s="19"/>
      <c r="C158" s="19"/>
      <c r="D158" s="19"/>
      <c r="E158" s="19"/>
      <c r="F158" s="19"/>
      <c r="G158" s="206" t="s">
        <v>375</v>
      </c>
      <c r="H158" s="206" t="s">
        <v>305</v>
      </c>
      <c r="I158" s="46" t="str">
        <f t="shared" si="14"/>
        <v>ERP_Practice_SpainFunctional Lead</v>
      </c>
      <c r="J158" s="207" t="s">
        <v>96</v>
      </c>
      <c r="K158" s="206" t="s">
        <v>1050</v>
      </c>
      <c r="M158" s="19"/>
      <c r="N158" s="19"/>
      <c r="O158" s="19"/>
      <c r="P158" s="21"/>
      <c r="Q158" s="21"/>
      <c r="R158" s="19"/>
      <c r="W158" s="19" t="str">
        <v>ERP_Practice_SpainFunctional Lead</v>
      </c>
      <c r="BO158"/>
      <c r="BP158"/>
    </row>
    <row r="159" spans="1:68" x14ac:dyDescent="0.25">
      <c r="A159" s="19" t="s">
        <v>1051</v>
      </c>
      <c r="B159" s="19"/>
      <c r="C159" s="19"/>
      <c r="D159" s="19"/>
      <c r="E159" s="19"/>
      <c r="F159" s="19"/>
      <c r="G159" s="206" t="s">
        <v>1052</v>
      </c>
      <c r="H159" s="206" t="s">
        <v>216</v>
      </c>
      <c r="I159" s="46" t="str">
        <f t="shared" ref="I159:I166" si="19">_xlfn.CONCAT(G159,H159)</f>
        <v>ERP_Practice_SwitzerlandApplication Developer</v>
      </c>
      <c r="J159" s="207" t="s">
        <v>96</v>
      </c>
      <c r="K159" s="206" t="s">
        <v>1053</v>
      </c>
      <c r="M159" s="19" t="s">
        <v>1030</v>
      </c>
      <c r="N159" s="19" t="s">
        <v>216</v>
      </c>
      <c r="O159" s="19" t="str">
        <f t="shared" ref="O159:O187" si="20">_xlfn.CONCAT(M159,N159)</f>
        <v>ERP_Practice_ItalyApplication Developer</v>
      </c>
      <c r="P159" s="21">
        <v>165</v>
      </c>
      <c r="Q159" s="21">
        <v>105</v>
      </c>
      <c r="R159" s="19" t="s">
        <v>1031</v>
      </c>
      <c r="W159" s="19" t="str">
        <v>ERP_Practice_SwitzerlandApplication Developer</v>
      </c>
      <c r="BO159"/>
      <c r="BP159"/>
    </row>
    <row r="160" spans="1:68" x14ac:dyDescent="0.25">
      <c r="A160" s="19" t="s">
        <v>1054</v>
      </c>
      <c r="B160" s="19"/>
      <c r="C160" s="19"/>
      <c r="D160" s="19"/>
      <c r="E160" s="19"/>
      <c r="F160" s="19"/>
      <c r="G160" s="206" t="s">
        <v>1052</v>
      </c>
      <c r="H160" s="206" t="s">
        <v>272</v>
      </c>
      <c r="I160" s="46" t="str">
        <f t="shared" si="19"/>
        <v>ERP_Practice_SwitzerlandSr. Application Developer</v>
      </c>
      <c r="J160" s="207" t="s">
        <v>96</v>
      </c>
      <c r="K160" s="206" t="s">
        <v>1053</v>
      </c>
      <c r="M160" s="19" t="s">
        <v>1030</v>
      </c>
      <c r="N160" s="19" t="s">
        <v>272</v>
      </c>
      <c r="O160" s="19" t="str">
        <f t="shared" si="20"/>
        <v>ERP_Practice_ItalySr. Application Developer</v>
      </c>
      <c r="P160" s="21">
        <v>180</v>
      </c>
      <c r="Q160" s="21">
        <v>115</v>
      </c>
      <c r="R160" s="19" t="s">
        <v>1031</v>
      </c>
      <c r="W160" s="19" t="str">
        <v>ERP_Practice_SwitzerlandSr. Application Developer</v>
      </c>
      <c r="BO160"/>
      <c r="BP160"/>
    </row>
    <row r="161" spans="1:68" x14ac:dyDescent="0.25">
      <c r="A161" s="19" t="s">
        <v>1055</v>
      </c>
      <c r="B161" s="19"/>
      <c r="C161" s="19"/>
      <c r="D161" s="19"/>
      <c r="E161" s="19"/>
      <c r="F161" s="19"/>
      <c r="G161" s="206" t="s">
        <v>1052</v>
      </c>
      <c r="H161" s="206" t="s">
        <v>305</v>
      </c>
      <c r="I161" s="46" t="str">
        <f t="shared" si="19"/>
        <v>ERP_Practice_SwitzerlandFunctional Lead</v>
      </c>
      <c r="J161" s="207" t="s">
        <v>96</v>
      </c>
      <c r="K161" s="206" t="s">
        <v>1053</v>
      </c>
      <c r="M161" s="19" t="s">
        <v>1030</v>
      </c>
      <c r="N161" s="19" t="s">
        <v>305</v>
      </c>
      <c r="O161" s="19" t="str">
        <f t="shared" si="20"/>
        <v>ERP_Practice_ItalyFunctional Lead</v>
      </c>
      <c r="P161" s="21">
        <v>195</v>
      </c>
      <c r="Q161" s="21">
        <v>125</v>
      </c>
      <c r="R161" s="19" t="s">
        <v>1031</v>
      </c>
      <c r="W161" s="19" t="str">
        <v>ERP_Practice_SwitzerlandFunctional Lead</v>
      </c>
      <c r="BO161"/>
      <c r="BP161"/>
    </row>
    <row r="162" spans="1:68" x14ac:dyDescent="0.25">
      <c r="A162" s="19" t="s">
        <v>1056</v>
      </c>
      <c r="B162" s="19"/>
      <c r="C162" s="19"/>
      <c r="D162" s="19"/>
      <c r="E162" s="19"/>
      <c r="F162" s="19"/>
      <c r="G162" s="206" t="s">
        <v>1052</v>
      </c>
      <c r="H162" s="206" t="s">
        <v>470</v>
      </c>
      <c r="I162" s="46" t="str">
        <f t="shared" si="19"/>
        <v>ERP_Practice_SwitzerlandTechnical Lead</v>
      </c>
      <c r="J162" s="207" t="s">
        <v>96</v>
      </c>
      <c r="K162" s="206" t="s">
        <v>1053</v>
      </c>
      <c r="M162" s="19" t="s">
        <v>1030</v>
      </c>
      <c r="N162" s="19" t="s">
        <v>470</v>
      </c>
      <c r="O162" s="19" t="str">
        <f t="shared" si="20"/>
        <v>ERP_Practice_ItalyTechnical Lead</v>
      </c>
      <c r="P162" s="21">
        <v>195</v>
      </c>
      <c r="Q162" s="21">
        <v>125</v>
      </c>
      <c r="R162" s="19" t="s">
        <v>1031</v>
      </c>
      <c r="W162" s="19" t="str">
        <v>ERP_Practice_SwitzerlandTechnical Lead</v>
      </c>
      <c r="BO162"/>
      <c r="BP162"/>
    </row>
    <row r="163" spans="1:68" x14ac:dyDescent="0.25">
      <c r="A163" s="19" t="s">
        <v>1057</v>
      </c>
      <c r="B163" s="19"/>
      <c r="C163" s="19"/>
      <c r="D163" s="19"/>
      <c r="E163" s="19"/>
      <c r="F163" s="19"/>
      <c r="G163" s="206" t="s">
        <v>1052</v>
      </c>
      <c r="H163" s="206" t="s">
        <v>349</v>
      </c>
      <c r="I163" s="46" t="str">
        <f t="shared" si="19"/>
        <v>ERP_Practice_SwitzerlandSr. Functional Lead</v>
      </c>
      <c r="J163" s="207" t="s">
        <v>96</v>
      </c>
      <c r="K163" s="206" t="s">
        <v>1053</v>
      </c>
      <c r="M163" s="19" t="s">
        <v>1030</v>
      </c>
      <c r="N163" s="19" t="s">
        <v>349</v>
      </c>
      <c r="O163" s="19" t="str">
        <f t="shared" si="20"/>
        <v>ERP_Practice_ItalySr. Functional Lead</v>
      </c>
      <c r="P163" s="21">
        <v>210</v>
      </c>
      <c r="Q163" s="21">
        <v>135</v>
      </c>
      <c r="R163" s="19" t="s">
        <v>1031</v>
      </c>
      <c r="W163" s="19" t="str">
        <v>ERP_Practice_SwitzerlandSr. Functional Lead</v>
      </c>
      <c r="BO163"/>
      <c r="BP163"/>
    </row>
    <row r="164" spans="1:68" x14ac:dyDescent="0.25">
      <c r="A164" s="19" t="s">
        <v>1058</v>
      </c>
      <c r="B164" s="19"/>
      <c r="C164" s="19"/>
      <c r="D164" s="19"/>
      <c r="E164" s="19"/>
      <c r="F164" s="19"/>
      <c r="G164" s="206" t="s">
        <v>1052</v>
      </c>
      <c r="H164" s="206" t="s">
        <v>504</v>
      </c>
      <c r="I164" s="46" t="str">
        <f t="shared" si="19"/>
        <v>ERP_Practice_SwitzerlandSr. Technical Lead</v>
      </c>
      <c r="J164" s="207" t="s">
        <v>96</v>
      </c>
      <c r="K164" s="206" t="s">
        <v>1053</v>
      </c>
      <c r="M164" s="19" t="s">
        <v>1030</v>
      </c>
      <c r="N164" s="19" t="s">
        <v>504</v>
      </c>
      <c r="O164" s="19" t="str">
        <f t="shared" si="20"/>
        <v>ERP_Practice_ItalySr. Technical Lead</v>
      </c>
      <c r="P164" s="21">
        <v>210</v>
      </c>
      <c r="Q164" s="21">
        <v>135</v>
      </c>
      <c r="R164" s="19" t="s">
        <v>1031</v>
      </c>
      <c r="W164" s="19" t="str">
        <v>ERP_Practice_SwitzerlandSr. Technical Lead</v>
      </c>
      <c r="BO164"/>
      <c r="BP164"/>
    </row>
    <row r="165" spans="1:68" x14ac:dyDescent="0.25">
      <c r="A165" s="19" t="s">
        <v>1059</v>
      </c>
      <c r="B165" s="19"/>
      <c r="C165" s="19"/>
      <c r="D165" s="19"/>
      <c r="E165" s="19"/>
      <c r="F165" s="19"/>
      <c r="G165" s="206" t="s">
        <v>1052</v>
      </c>
      <c r="H165" s="206" t="s">
        <v>313</v>
      </c>
      <c r="I165" s="46" t="str">
        <f t="shared" si="19"/>
        <v>ERP_Practice_SwitzerlandSolution Architect</v>
      </c>
      <c r="J165" s="207" t="s">
        <v>96</v>
      </c>
      <c r="K165" s="206" t="s">
        <v>1053</v>
      </c>
      <c r="M165" s="19" t="s">
        <v>1030</v>
      </c>
      <c r="N165" s="19" t="s">
        <v>313</v>
      </c>
      <c r="O165" s="19" t="str">
        <f t="shared" si="20"/>
        <v>ERP_Practice_ItalySolution Architect</v>
      </c>
      <c r="P165" s="21">
        <v>225</v>
      </c>
      <c r="Q165" s="21">
        <v>145</v>
      </c>
      <c r="R165" s="19" t="s">
        <v>1031</v>
      </c>
      <c r="W165" s="19" t="str">
        <v>ERP_Practice_SwitzerlandSolution Architect</v>
      </c>
      <c r="BO165"/>
      <c r="BP165"/>
    </row>
    <row r="166" spans="1:68" x14ac:dyDescent="0.25">
      <c r="A166" s="19" t="s">
        <v>1060</v>
      </c>
      <c r="B166" s="19"/>
      <c r="C166" s="19"/>
      <c r="D166" s="19"/>
      <c r="E166" s="19"/>
      <c r="F166" s="19"/>
      <c r="G166" s="206" t="s">
        <v>1052</v>
      </c>
      <c r="H166" s="206" t="s">
        <v>241</v>
      </c>
      <c r="I166" s="46" t="str">
        <f t="shared" si="19"/>
        <v>ERP_Practice_SwitzerlandSr. Solution Architect</v>
      </c>
      <c r="J166" s="207" t="s">
        <v>96</v>
      </c>
      <c r="K166" s="206" t="s">
        <v>1053</v>
      </c>
      <c r="M166" s="19" t="s">
        <v>1030</v>
      </c>
      <c r="N166" s="19" t="s">
        <v>241</v>
      </c>
      <c r="O166" s="19" t="str">
        <f t="shared" si="20"/>
        <v>ERP_Practice_ItalySr. Solution Architect</v>
      </c>
      <c r="P166" s="21">
        <v>250</v>
      </c>
      <c r="Q166" s="21">
        <v>160</v>
      </c>
      <c r="R166" s="19" t="s">
        <v>1031</v>
      </c>
      <c r="W166" s="19" t="str">
        <v>ERP_Practice_SwitzerlandSr. Solution Architect</v>
      </c>
      <c r="BO166"/>
      <c r="BP166"/>
    </row>
    <row r="167" spans="1:68" x14ac:dyDescent="0.25">
      <c r="A167" s="19" t="s">
        <v>1061</v>
      </c>
      <c r="B167" s="19"/>
      <c r="C167" s="19"/>
      <c r="D167" s="19"/>
      <c r="E167" s="19"/>
      <c r="F167" s="19"/>
      <c r="G167" s="206" t="s">
        <v>194</v>
      </c>
      <c r="H167" s="206" t="s">
        <v>407</v>
      </c>
      <c r="I167" s="46" t="str">
        <f t="shared" ref="I167:I179" si="21">_xlfn.CONCAT(G167,H167)</f>
        <v>Cloud_Practice_USAProject Coordinator</v>
      </c>
      <c r="J167" s="207" t="s">
        <v>96</v>
      </c>
      <c r="K167" s="206" t="s">
        <v>776</v>
      </c>
      <c r="M167" s="19"/>
      <c r="N167" s="19"/>
      <c r="O167" s="19" t="str">
        <f t="shared" si="20"/>
        <v/>
      </c>
      <c r="P167" s="21"/>
      <c r="Q167" s="21"/>
      <c r="R167" s="19"/>
      <c r="W167" s="19" t="str">
        <v>Cloud_Practice_USAProject Coordinator</v>
      </c>
      <c r="BO167"/>
      <c r="BP167"/>
    </row>
    <row r="168" spans="1:68" x14ac:dyDescent="0.25">
      <c r="A168" s="19" t="s">
        <v>1062</v>
      </c>
      <c r="B168" s="19"/>
      <c r="C168" s="19"/>
      <c r="D168" s="19"/>
      <c r="E168" s="19"/>
      <c r="F168" s="19"/>
      <c r="G168" s="206" t="s">
        <v>194</v>
      </c>
      <c r="H168" s="206" t="s">
        <v>200</v>
      </c>
      <c r="I168" s="46" t="str">
        <f t="shared" si="21"/>
        <v>Cloud_Practice_USAProject Manager</v>
      </c>
      <c r="J168" s="207" t="s">
        <v>96</v>
      </c>
      <c r="K168" s="206" t="s">
        <v>776</v>
      </c>
      <c r="M168" s="19" t="s">
        <v>373</v>
      </c>
      <c r="N168" s="19" t="s">
        <v>407</v>
      </c>
      <c r="O168" s="19" t="str">
        <f t="shared" si="20"/>
        <v>ERP_Practice_MexicoProject Coordinator</v>
      </c>
      <c r="P168" s="21">
        <v>60</v>
      </c>
      <c r="Q168" s="21">
        <v>30</v>
      </c>
      <c r="R168" s="19" t="s">
        <v>1040</v>
      </c>
      <c r="W168" s="19" t="str">
        <v>Cloud_Practice_USAProject Manager</v>
      </c>
      <c r="BO168"/>
      <c r="BP168"/>
    </row>
    <row r="169" spans="1:68" x14ac:dyDescent="0.25">
      <c r="A169" s="19" t="s">
        <v>1063</v>
      </c>
      <c r="B169" s="19"/>
      <c r="C169" s="19"/>
      <c r="D169" s="19"/>
      <c r="E169" s="19"/>
      <c r="F169" s="19"/>
      <c r="G169" s="206" t="s">
        <v>194</v>
      </c>
      <c r="H169" s="206" t="s">
        <v>202</v>
      </c>
      <c r="I169" s="46" t="str">
        <f t="shared" si="21"/>
        <v>Cloud_Practice_USAEngineer</v>
      </c>
      <c r="J169" s="207" t="s">
        <v>96</v>
      </c>
      <c r="K169" s="206" t="s">
        <v>776</v>
      </c>
      <c r="M169" s="19" t="s">
        <v>373</v>
      </c>
      <c r="N169" s="19" t="s">
        <v>200</v>
      </c>
      <c r="O169" s="19" t="str">
        <f t="shared" si="20"/>
        <v>ERP_Practice_MexicoProject Manager</v>
      </c>
      <c r="P169" s="21">
        <v>80</v>
      </c>
      <c r="Q169" s="21">
        <v>40</v>
      </c>
      <c r="R169" s="19" t="s">
        <v>1040</v>
      </c>
      <c r="W169" s="19" t="str">
        <v>Cloud_Practice_USAEngineer</v>
      </c>
      <c r="BO169"/>
      <c r="BP169"/>
    </row>
    <row r="170" spans="1:68" x14ac:dyDescent="0.25">
      <c r="A170" s="19" t="s">
        <v>1064</v>
      </c>
      <c r="B170" s="19"/>
      <c r="C170" s="19"/>
      <c r="D170" s="19"/>
      <c r="E170" s="19"/>
      <c r="F170" s="19"/>
      <c r="G170" s="206" t="s">
        <v>194</v>
      </c>
      <c r="H170" s="206" t="s">
        <v>195</v>
      </c>
      <c r="I170" s="46" t="str">
        <f t="shared" si="21"/>
        <v>Cloud_Practice_USAProgram Manager</v>
      </c>
      <c r="J170" s="207" t="s">
        <v>96</v>
      </c>
      <c r="K170" s="206" t="s">
        <v>776</v>
      </c>
      <c r="M170" s="19" t="s">
        <v>373</v>
      </c>
      <c r="N170" s="19" t="s">
        <v>95</v>
      </c>
      <c r="O170" s="19" t="str">
        <f t="shared" si="20"/>
        <v>ERP_Practice_MexicoSr. Project Manager</v>
      </c>
      <c r="P170" s="21">
        <v>100</v>
      </c>
      <c r="Q170" s="21">
        <v>50</v>
      </c>
      <c r="R170" s="19" t="s">
        <v>1040</v>
      </c>
      <c r="W170" s="19" t="str">
        <v>Cloud_Practice_USAProgram Manager</v>
      </c>
      <c r="BO170"/>
      <c r="BP170"/>
    </row>
    <row r="171" spans="1:68" x14ac:dyDescent="0.25">
      <c r="A171" s="19" t="s">
        <v>1065</v>
      </c>
      <c r="B171" s="19"/>
      <c r="C171" s="19"/>
      <c r="D171" s="19"/>
      <c r="E171" s="19"/>
      <c r="F171" s="19"/>
      <c r="G171" s="206" t="s">
        <v>194</v>
      </c>
      <c r="H171" s="206" t="s">
        <v>432</v>
      </c>
      <c r="I171" s="46" t="str">
        <f t="shared" si="21"/>
        <v>Cloud_Practice_USADeveloper</v>
      </c>
      <c r="J171" s="207" t="s">
        <v>96</v>
      </c>
      <c r="K171" s="206" t="s">
        <v>776</v>
      </c>
      <c r="M171" s="19" t="s">
        <v>373</v>
      </c>
      <c r="N171" s="19" t="s">
        <v>216</v>
      </c>
      <c r="O171" s="19" t="str">
        <f t="shared" si="20"/>
        <v>ERP_Practice_MexicoApplication Developer</v>
      </c>
      <c r="P171" s="21">
        <v>90</v>
      </c>
      <c r="Q171" s="21">
        <v>45</v>
      </c>
      <c r="R171" s="19" t="s">
        <v>1040</v>
      </c>
      <c r="W171" s="19" t="str">
        <v>Cloud_Practice_USADeveloper</v>
      </c>
      <c r="BO171"/>
      <c r="BP171"/>
    </row>
    <row r="172" spans="1:68" x14ac:dyDescent="0.25">
      <c r="A172" s="19" t="s">
        <v>1066</v>
      </c>
      <c r="B172" s="19"/>
      <c r="C172" s="19"/>
      <c r="D172" s="19"/>
      <c r="E172" s="19"/>
      <c r="F172" s="19"/>
      <c r="G172" s="206" t="s">
        <v>194</v>
      </c>
      <c r="H172" s="206" t="s">
        <v>206</v>
      </c>
      <c r="I172" s="46" t="str">
        <f t="shared" si="21"/>
        <v>Cloud_Practice_USAArchitect</v>
      </c>
      <c r="J172" s="207" t="s">
        <v>96</v>
      </c>
      <c r="K172" s="206" t="s">
        <v>776</v>
      </c>
      <c r="M172" s="19" t="s">
        <v>373</v>
      </c>
      <c r="N172" s="19" t="s">
        <v>272</v>
      </c>
      <c r="O172" s="19" t="str">
        <f t="shared" si="20"/>
        <v>ERP_Practice_MexicoSr. Application Developer</v>
      </c>
      <c r="P172" s="21">
        <v>100</v>
      </c>
      <c r="Q172" s="21">
        <v>50</v>
      </c>
      <c r="R172" s="19" t="s">
        <v>1040</v>
      </c>
      <c r="W172" s="19" t="str">
        <v>Cloud_Practice_USAArchitect</v>
      </c>
      <c r="BO172"/>
      <c r="BP172"/>
    </row>
    <row r="173" spans="1:68" x14ac:dyDescent="0.25">
      <c r="A173" s="19" t="s">
        <v>1067</v>
      </c>
      <c r="B173" s="19"/>
      <c r="C173" s="19"/>
      <c r="D173" s="19"/>
      <c r="E173" s="19"/>
      <c r="F173" s="19"/>
      <c r="G173" s="206" t="s">
        <v>194</v>
      </c>
      <c r="H173" s="206" t="s">
        <v>204</v>
      </c>
      <c r="I173" s="46" t="str">
        <f t="shared" si="21"/>
        <v>Cloud_Practice_USAProgram Lead</v>
      </c>
      <c r="J173" s="207" t="s">
        <v>96</v>
      </c>
      <c r="K173" s="206" t="s">
        <v>776</v>
      </c>
      <c r="M173" s="19" t="s">
        <v>373</v>
      </c>
      <c r="N173" s="19" t="s">
        <v>307</v>
      </c>
      <c r="O173" s="19" t="str">
        <f t="shared" si="20"/>
        <v>ERP_Practice_MexicoApplication Lead</v>
      </c>
      <c r="P173" s="21">
        <v>105</v>
      </c>
      <c r="Q173" s="21">
        <v>55</v>
      </c>
      <c r="R173" s="19" t="s">
        <v>1040</v>
      </c>
      <c r="W173" s="19" t="str">
        <v>Cloud_Practice_USAProgram Lead</v>
      </c>
      <c r="BO173"/>
      <c r="BP173"/>
    </row>
    <row r="174" spans="1:68" x14ac:dyDescent="0.25">
      <c r="A174" s="19" t="s">
        <v>1068</v>
      </c>
      <c r="B174" s="19"/>
      <c r="C174" s="19"/>
      <c r="D174" s="19"/>
      <c r="E174" s="19"/>
      <c r="F174" s="19"/>
      <c r="G174" s="206" t="s">
        <v>194</v>
      </c>
      <c r="H174" s="206" t="s">
        <v>198</v>
      </c>
      <c r="I174" s="46" t="str">
        <f t="shared" si="21"/>
        <v>Cloud_Practice_USASr. Program Lead</v>
      </c>
      <c r="J174" s="207" t="s">
        <v>96</v>
      </c>
      <c r="K174" s="206" t="s">
        <v>776</v>
      </c>
      <c r="M174" s="19" t="s">
        <v>373</v>
      </c>
      <c r="N174" s="19" t="s">
        <v>219</v>
      </c>
      <c r="O174" s="19" t="str">
        <f t="shared" si="20"/>
        <v>ERP_Practice_MexicoSr. Application Lead</v>
      </c>
      <c r="P174" s="21">
        <v>115</v>
      </c>
      <c r="Q174" s="21">
        <v>60</v>
      </c>
      <c r="R174" s="19" t="s">
        <v>1040</v>
      </c>
      <c r="W174" s="19" t="str">
        <v>Cloud_Practice_USASr. Program Lead</v>
      </c>
      <c r="BO174"/>
      <c r="BP174"/>
    </row>
    <row r="175" spans="1:68" x14ac:dyDescent="0.25">
      <c r="A175" s="19" t="s">
        <v>1069</v>
      </c>
      <c r="B175" s="19"/>
      <c r="C175" s="19"/>
      <c r="D175" s="19"/>
      <c r="E175" s="19"/>
      <c r="F175" s="19"/>
      <c r="G175" s="206" t="s">
        <v>1070</v>
      </c>
      <c r="H175" s="206" t="s">
        <v>1071</v>
      </c>
      <c r="I175" s="46" t="str">
        <f t="shared" si="21"/>
        <v>Cloud_Practice_IndiaAssociate</v>
      </c>
      <c r="J175" s="207" t="s">
        <v>96</v>
      </c>
      <c r="K175" s="206" t="s">
        <v>946</v>
      </c>
      <c r="M175" s="19" t="s">
        <v>373</v>
      </c>
      <c r="N175" s="19" t="s">
        <v>305</v>
      </c>
      <c r="O175" s="19" t="str">
        <f t="shared" si="20"/>
        <v>ERP_Practice_MexicoFunctional Lead</v>
      </c>
      <c r="P175" s="21">
        <v>100</v>
      </c>
      <c r="Q175" s="21">
        <v>50</v>
      </c>
      <c r="R175" s="19" t="s">
        <v>1040</v>
      </c>
      <c r="W175" s="19" t="str">
        <v>Cloud_Practice_IndiaAssociate</v>
      </c>
      <c r="BO175"/>
      <c r="BP175"/>
    </row>
    <row r="176" spans="1:68" x14ac:dyDescent="0.25">
      <c r="A176" s="19" t="s">
        <v>1072</v>
      </c>
      <c r="B176" s="19"/>
      <c r="C176" s="19"/>
      <c r="D176" s="19"/>
      <c r="E176" s="19"/>
      <c r="F176" s="19"/>
      <c r="G176" s="206" t="s">
        <v>1070</v>
      </c>
      <c r="H176" s="206" t="s">
        <v>202</v>
      </c>
      <c r="I176" s="46" t="str">
        <f t="shared" si="21"/>
        <v>Cloud_Practice_IndiaEngineer</v>
      </c>
      <c r="J176" s="207" t="s">
        <v>96</v>
      </c>
      <c r="K176" s="206" t="s">
        <v>946</v>
      </c>
      <c r="M176" s="19" t="s">
        <v>373</v>
      </c>
      <c r="N176" s="19" t="s">
        <v>349</v>
      </c>
      <c r="O176" s="19" t="str">
        <f t="shared" si="20"/>
        <v>ERP_Practice_MexicoSr. Functional Lead</v>
      </c>
      <c r="P176" s="21">
        <v>115</v>
      </c>
      <c r="Q176" s="21">
        <v>60</v>
      </c>
      <c r="R176" s="19" t="s">
        <v>1040</v>
      </c>
      <c r="W176" s="19" t="str">
        <v>Cloud_Practice_IndiaEngineer</v>
      </c>
      <c r="BO176"/>
      <c r="BP176"/>
    </row>
    <row r="177" spans="1:68" x14ac:dyDescent="0.25">
      <c r="A177" s="19" t="s">
        <v>1073</v>
      </c>
      <c r="B177" s="19"/>
      <c r="C177" s="19"/>
      <c r="D177" s="19"/>
      <c r="E177" s="19"/>
      <c r="F177" s="19"/>
      <c r="G177" s="206" t="s">
        <v>1070</v>
      </c>
      <c r="H177" s="206" t="s">
        <v>432</v>
      </c>
      <c r="I177" s="46" t="str">
        <f t="shared" si="21"/>
        <v>Cloud_Practice_IndiaDeveloper</v>
      </c>
      <c r="J177" s="207" t="s">
        <v>96</v>
      </c>
      <c r="K177" s="206" t="s">
        <v>946</v>
      </c>
      <c r="M177" s="19"/>
      <c r="N177" s="19"/>
      <c r="O177" s="19"/>
      <c r="P177" s="21"/>
      <c r="Q177" s="21"/>
      <c r="R177" s="19"/>
      <c r="W177" s="19" t="str">
        <v>Cloud_Practice_IndiaDeveloper</v>
      </c>
      <c r="BO177"/>
      <c r="BP177"/>
    </row>
    <row r="178" spans="1:68" x14ac:dyDescent="0.25">
      <c r="A178" s="19" t="s">
        <v>1074</v>
      </c>
      <c r="B178" s="19"/>
      <c r="C178" s="19"/>
      <c r="D178" s="19"/>
      <c r="E178" s="19"/>
      <c r="F178" s="19"/>
      <c r="G178" s="206" t="s">
        <v>1070</v>
      </c>
      <c r="H178" s="206" t="s">
        <v>206</v>
      </c>
      <c r="I178" s="46" t="str">
        <f t="shared" si="21"/>
        <v>Cloud_Practice_IndiaArchitect</v>
      </c>
      <c r="J178" s="207" t="s">
        <v>96</v>
      </c>
      <c r="K178" s="206" t="s">
        <v>946</v>
      </c>
      <c r="M178" s="19" t="s">
        <v>375</v>
      </c>
      <c r="N178" s="19" t="s">
        <v>376</v>
      </c>
      <c r="O178" s="19" t="str">
        <f t="shared" si="20"/>
        <v>ERP_Practice_SpainTechno-Functional Finance Lead</v>
      </c>
      <c r="P178" s="21">
        <v>275</v>
      </c>
      <c r="Q178" s="21">
        <v>175</v>
      </c>
      <c r="R178" s="19" t="s">
        <v>1050</v>
      </c>
      <c r="W178" s="19" t="str">
        <v>Cloud_Practice_IndiaArchitect</v>
      </c>
      <c r="BO178"/>
      <c r="BP178"/>
    </row>
    <row r="179" spans="1:68" x14ac:dyDescent="0.25">
      <c r="A179" s="19" t="s">
        <v>1075</v>
      </c>
      <c r="B179" s="19"/>
      <c r="C179" s="19"/>
      <c r="D179" s="19"/>
      <c r="E179" s="19"/>
      <c r="F179" s="19"/>
      <c r="G179" s="206" t="s">
        <v>1070</v>
      </c>
      <c r="H179" s="206" t="s">
        <v>1076</v>
      </c>
      <c r="I179" s="46" t="str">
        <f t="shared" si="21"/>
        <v>Cloud_Practice_IndiaAssociate Cloud Engineer</v>
      </c>
      <c r="J179" s="207" t="s">
        <v>96</v>
      </c>
      <c r="K179" s="206" t="s">
        <v>946</v>
      </c>
      <c r="M179" s="19"/>
      <c r="N179" s="19"/>
      <c r="O179" s="19"/>
      <c r="P179" s="21"/>
      <c r="Q179" s="21"/>
      <c r="R179" s="19"/>
      <c r="W179" s="19" t="str">
        <v>Cloud_Practice_IndiaAssociate Cloud Engineer</v>
      </c>
      <c r="BO179"/>
      <c r="BP179"/>
    </row>
    <row r="180" spans="1:68" x14ac:dyDescent="0.25">
      <c r="A180" s="19" t="s">
        <v>1077</v>
      </c>
      <c r="B180" s="19"/>
      <c r="C180" s="19"/>
      <c r="D180" s="19"/>
      <c r="E180" s="19"/>
      <c r="F180" s="19"/>
      <c r="G180" s="206" t="s">
        <v>416</v>
      </c>
      <c r="H180" s="206" t="s">
        <v>429</v>
      </c>
      <c r="I180" s="46" t="str">
        <f t="shared" ref="I180:I195" si="22">_xlfn.CONCAT(G180,H180)</f>
        <v>PS_Practice_USADevOps Engineer</v>
      </c>
      <c r="J180" s="207" t="s">
        <v>96</v>
      </c>
      <c r="K180" s="206" t="s">
        <v>776</v>
      </c>
      <c r="M180" s="19" t="s">
        <v>1052</v>
      </c>
      <c r="N180" s="19" t="s">
        <v>216</v>
      </c>
      <c r="O180" s="19" t="str">
        <f t="shared" si="20"/>
        <v>ERP_Practice_SwitzerlandApplication Developer</v>
      </c>
      <c r="P180" s="21">
        <v>165</v>
      </c>
      <c r="Q180" s="21">
        <v>105</v>
      </c>
      <c r="R180" s="19" t="s">
        <v>1053</v>
      </c>
      <c r="W180" s="19" t="str">
        <v>PS_Practice_USADevOps Engineer</v>
      </c>
      <c r="BO180"/>
      <c r="BP180"/>
    </row>
    <row r="181" spans="1:68" x14ac:dyDescent="0.25">
      <c r="A181" s="19" t="s">
        <v>1078</v>
      </c>
      <c r="B181" s="19"/>
      <c r="C181" s="19"/>
      <c r="D181" s="19"/>
      <c r="E181" s="19"/>
      <c r="F181" s="19"/>
      <c r="G181" s="206" t="s">
        <v>416</v>
      </c>
      <c r="H181" s="206" t="s">
        <v>407</v>
      </c>
      <c r="I181" s="46" t="str">
        <f t="shared" si="22"/>
        <v>PS_Practice_USAProject Coordinator</v>
      </c>
      <c r="J181" s="207" t="s">
        <v>96</v>
      </c>
      <c r="K181" s="206" t="s">
        <v>776</v>
      </c>
      <c r="M181" s="19" t="s">
        <v>1052</v>
      </c>
      <c r="N181" s="19" t="s">
        <v>272</v>
      </c>
      <c r="O181" s="19" t="str">
        <f t="shared" si="20"/>
        <v>ERP_Practice_SwitzerlandSr. Application Developer</v>
      </c>
      <c r="P181" s="21">
        <v>180</v>
      </c>
      <c r="Q181" s="21">
        <v>115</v>
      </c>
      <c r="R181" s="19" t="s">
        <v>1053</v>
      </c>
      <c r="W181" s="19" t="str">
        <v>PS_Practice_USAProject Coordinator</v>
      </c>
      <c r="BO181"/>
      <c r="BP181"/>
    </row>
    <row r="182" spans="1:68" x14ac:dyDescent="0.25">
      <c r="A182" s="19" t="s">
        <v>1079</v>
      </c>
      <c r="B182" s="19"/>
      <c r="C182" s="19"/>
      <c r="D182" s="19"/>
      <c r="E182" s="19"/>
      <c r="F182" s="19"/>
      <c r="G182" s="206" t="s">
        <v>416</v>
      </c>
      <c r="H182" s="206" t="s">
        <v>381</v>
      </c>
      <c r="I182" s="46" t="str">
        <f t="shared" si="22"/>
        <v>PS_Practice_USAApplication Support Lead</v>
      </c>
      <c r="J182" s="207" t="s">
        <v>96</v>
      </c>
      <c r="K182" s="206" t="s">
        <v>776</v>
      </c>
      <c r="M182" s="19" t="s">
        <v>1052</v>
      </c>
      <c r="N182" s="19" t="s">
        <v>305</v>
      </c>
      <c r="O182" s="19" t="str">
        <f t="shared" si="20"/>
        <v>ERP_Practice_SwitzerlandFunctional Lead</v>
      </c>
      <c r="P182" s="21">
        <v>195</v>
      </c>
      <c r="Q182" s="21">
        <v>125</v>
      </c>
      <c r="R182" s="19" t="s">
        <v>1053</v>
      </c>
      <c r="W182" s="19" t="str">
        <v>PS_Practice_USAApplication Support Lead</v>
      </c>
      <c r="BO182"/>
      <c r="BP182"/>
    </row>
    <row r="183" spans="1:68" x14ac:dyDescent="0.25">
      <c r="A183" s="19" t="s">
        <v>1080</v>
      </c>
      <c r="B183" s="19"/>
      <c r="C183" s="19"/>
      <c r="D183" s="19"/>
      <c r="E183" s="19"/>
      <c r="F183" s="19"/>
      <c r="G183" s="206" t="s">
        <v>416</v>
      </c>
      <c r="H183" s="206" t="s">
        <v>320</v>
      </c>
      <c r="I183" s="46" t="str">
        <f t="shared" si="22"/>
        <v>PS_Practice_USASr. Application Support Lead</v>
      </c>
      <c r="J183" s="207" t="s">
        <v>96</v>
      </c>
      <c r="K183" s="206" t="s">
        <v>776</v>
      </c>
      <c r="M183" s="19" t="s">
        <v>1052</v>
      </c>
      <c r="N183" s="19" t="s">
        <v>470</v>
      </c>
      <c r="O183" s="19" t="str">
        <f t="shared" si="20"/>
        <v>ERP_Practice_SwitzerlandTechnical Lead</v>
      </c>
      <c r="P183" s="21">
        <v>195</v>
      </c>
      <c r="Q183" s="21">
        <v>125</v>
      </c>
      <c r="R183" s="19" t="s">
        <v>1053</v>
      </c>
      <c r="W183" s="19" t="str">
        <v>PS_Practice_USASr. Application Support Lead</v>
      </c>
      <c r="BO183"/>
      <c r="BP183"/>
    </row>
    <row r="184" spans="1:68" x14ac:dyDescent="0.25">
      <c r="A184" s="19" t="s">
        <v>1081</v>
      </c>
      <c r="B184" s="19"/>
      <c r="C184" s="19"/>
      <c r="D184" s="19"/>
      <c r="E184" s="19"/>
      <c r="F184" s="19"/>
      <c r="G184" s="206" t="s">
        <v>416</v>
      </c>
      <c r="H184" s="206" t="s">
        <v>216</v>
      </c>
      <c r="I184" s="46" t="str">
        <f t="shared" si="22"/>
        <v>PS_Practice_USAApplication Developer</v>
      </c>
      <c r="J184" s="207" t="s">
        <v>96</v>
      </c>
      <c r="K184" s="206" t="s">
        <v>776</v>
      </c>
      <c r="M184" s="19" t="s">
        <v>1052</v>
      </c>
      <c r="N184" s="19" t="s">
        <v>349</v>
      </c>
      <c r="O184" s="19" t="str">
        <f t="shared" si="20"/>
        <v>ERP_Practice_SwitzerlandSr. Functional Lead</v>
      </c>
      <c r="P184" s="21">
        <v>215</v>
      </c>
      <c r="Q184" s="21">
        <v>140</v>
      </c>
      <c r="R184" s="19" t="s">
        <v>1053</v>
      </c>
      <c r="W184" s="19" t="str">
        <v>PS_Practice_USAApplication Developer</v>
      </c>
      <c r="BO184"/>
      <c r="BP184"/>
    </row>
    <row r="185" spans="1:68" x14ac:dyDescent="0.25">
      <c r="A185" s="19" t="s">
        <v>1082</v>
      </c>
      <c r="B185" s="19"/>
      <c r="C185" s="19"/>
      <c r="D185" s="19"/>
      <c r="E185" s="19"/>
      <c r="F185" s="19"/>
      <c r="G185" s="206" t="s">
        <v>416</v>
      </c>
      <c r="H185" s="206" t="s">
        <v>200</v>
      </c>
      <c r="I185" s="46" t="str">
        <f t="shared" si="22"/>
        <v>PS_Practice_USAProject Manager</v>
      </c>
      <c r="J185" s="207" t="s">
        <v>96</v>
      </c>
      <c r="K185" s="206" t="s">
        <v>776</v>
      </c>
      <c r="M185" s="19" t="s">
        <v>1052</v>
      </c>
      <c r="N185" s="19" t="s">
        <v>504</v>
      </c>
      <c r="O185" s="19" t="str">
        <f t="shared" si="20"/>
        <v>ERP_Practice_SwitzerlandSr. Technical Lead</v>
      </c>
      <c r="P185" s="21">
        <v>215</v>
      </c>
      <c r="Q185" s="21">
        <v>140</v>
      </c>
      <c r="R185" s="19" t="s">
        <v>1053</v>
      </c>
      <c r="W185" s="19" t="str">
        <v>PS_Practice_USAProject Manager</v>
      </c>
      <c r="BO185"/>
      <c r="BP185"/>
    </row>
    <row r="186" spans="1:68" x14ac:dyDescent="0.25">
      <c r="A186" s="19" t="s">
        <v>1083</v>
      </c>
      <c r="B186" s="19"/>
      <c r="C186" s="19"/>
      <c r="D186" s="19"/>
      <c r="E186" s="19"/>
      <c r="F186" s="19"/>
      <c r="G186" s="206" t="s">
        <v>416</v>
      </c>
      <c r="H186" s="206" t="s">
        <v>272</v>
      </c>
      <c r="I186" s="46" t="str">
        <f t="shared" si="22"/>
        <v>PS_Practice_USASr. Application Developer</v>
      </c>
      <c r="J186" s="207" t="s">
        <v>96</v>
      </c>
      <c r="K186" s="206" t="s">
        <v>776</v>
      </c>
      <c r="M186" s="19" t="s">
        <v>1052</v>
      </c>
      <c r="N186" s="19" t="s">
        <v>313</v>
      </c>
      <c r="O186" s="19" t="str">
        <f t="shared" si="20"/>
        <v>ERP_Practice_SwitzerlandSolution Architect</v>
      </c>
      <c r="P186" s="21">
        <v>225</v>
      </c>
      <c r="Q186" s="21">
        <v>145</v>
      </c>
      <c r="R186" s="19" t="s">
        <v>1053</v>
      </c>
      <c r="W186" s="19" t="str">
        <v>PS_Practice_USASr. Application Developer</v>
      </c>
      <c r="BO186"/>
      <c r="BP186"/>
    </row>
    <row r="187" spans="1:68" x14ac:dyDescent="0.25">
      <c r="A187" s="19" t="s">
        <v>1084</v>
      </c>
      <c r="B187" s="19"/>
      <c r="C187" s="19"/>
      <c r="D187" s="19"/>
      <c r="E187" s="19"/>
      <c r="F187" s="19"/>
      <c r="G187" s="206" t="s">
        <v>416</v>
      </c>
      <c r="H187" s="206" t="s">
        <v>95</v>
      </c>
      <c r="I187" s="46" t="str">
        <f t="shared" si="22"/>
        <v>PS_Practice_USASr. Project Manager</v>
      </c>
      <c r="J187" s="207" t="s">
        <v>96</v>
      </c>
      <c r="K187" s="206" t="s">
        <v>776</v>
      </c>
      <c r="M187" s="19" t="s">
        <v>1052</v>
      </c>
      <c r="N187" s="19" t="s">
        <v>241</v>
      </c>
      <c r="O187" s="19" t="str">
        <f t="shared" si="20"/>
        <v>ERP_Practice_SwitzerlandSr. Solution Architect</v>
      </c>
      <c r="P187" s="21">
        <v>240</v>
      </c>
      <c r="Q187" s="21">
        <v>155</v>
      </c>
      <c r="R187" s="19" t="s">
        <v>1053</v>
      </c>
      <c r="W187" s="19" t="str">
        <v>PS_Practice_USASr. Project Manager</v>
      </c>
      <c r="BO187"/>
      <c r="BP187"/>
    </row>
    <row r="188" spans="1:68" x14ac:dyDescent="0.25">
      <c r="A188" s="19" t="s">
        <v>1085</v>
      </c>
      <c r="B188" s="19"/>
      <c r="C188" s="19"/>
      <c r="D188" s="19"/>
      <c r="E188" s="19"/>
      <c r="F188" s="19"/>
      <c r="G188" s="206" t="s">
        <v>416</v>
      </c>
      <c r="H188" s="206" t="s">
        <v>307</v>
      </c>
      <c r="I188" s="46" t="str">
        <f t="shared" si="22"/>
        <v>PS_Practice_USAApplication Lead</v>
      </c>
      <c r="J188" s="207" t="s">
        <v>96</v>
      </c>
      <c r="K188" s="206" t="s">
        <v>776</v>
      </c>
      <c r="M188" s="19"/>
      <c r="N188" s="19"/>
      <c r="O188" s="19"/>
      <c r="P188" s="21"/>
      <c r="Q188" s="21"/>
      <c r="R188" s="19"/>
      <c r="W188" s="19" t="str">
        <v>PS_Practice_USAApplication Lead</v>
      </c>
      <c r="BO188"/>
      <c r="BP188"/>
    </row>
    <row r="189" spans="1:68" x14ac:dyDescent="0.25">
      <c r="A189" s="19" t="s">
        <v>1086</v>
      </c>
      <c r="B189" s="19"/>
      <c r="C189" s="19"/>
      <c r="D189" s="19"/>
      <c r="E189" s="19"/>
      <c r="F189" s="19"/>
      <c r="G189" s="206" t="s">
        <v>416</v>
      </c>
      <c r="H189" s="206" t="s">
        <v>195</v>
      </c>
      <c r="I189" s="46" t="str">
        <f t="shared" si="22"/>
        <v>PS_Practice_USAProgram Manager</v>
      </c>
      <c r="J189" s="207" t="s">
        <v>96</v>
      </c>
      <c r="K189" s="206" t="s">
        <v>776</v>
      </c>
      <c r="M189" s="363" t="s">
        <v>194</v>
      </c>
      <c r="N189" s="19" t="s">
        <v>407</v>
      </c>
      <c r="O189" s="19" t="str">
        <f t="shared" ref="O189:O196" si="23">_xlfn.CONCAT(M189,N189)</f>
        <v>Cloud_Practice_USAProject Coordinator</v>
      </c>
      <c r="P189" s="364">
        <v>190</v>
      </c>
      <c r="Q189" s="364">
        <v>120</v>
      </c>
      <c r="R189" s="19" t="s">
        <v>776</v>
      </c>
      <c r="W189" s="19" t="str">
        <v>PS_Practice_USAProgram Manager</v>
      </c>
      <c r="BO189"/>
      <c r="BP189"/>
    </row>
    <row r="190" spans="1:68" x14ac:dyDescent="0.25">
      <c r="A190" s="19" t="s">
        <v>1087</v>
      </c>
      <c r="B190" s="19"/>
      <c r="C190" s="19"/>
      <c r="D190" s="19"/>
      <c r="E190" s="19"/>
      <c r="F190" s="19"/>
      <c r="G190" s="206" t="s">
        <v>416</v>
      </c>
      <c r="H190" s="206" t="s">
        <v>421</v>
      </c>
      <c r="I190" s="46" t="str">
        <f t="shared" si="22"/>
        <v>PS_Practice_USASr. Program Manager</v>
      </c>
      <c r="J190" s="207" t="s">
        <v>96</v>
      </c>
      <c r="K190" s="206" t="s">
        <v>776</v>
      </c>
      <c r="M190" s="363" t="s">
        <v>194</v>
      </c>
      <c r="N190" s="19" t="s">
        <v>200</v>
      </c>
      <c r="O190" s="19" t="str">
        <f t="shared" si="23"/>
        <v>Cloud_Practice_USAProject Manager</v>
      </c>
      <c r="P190" s="364">
        <v>240</v>
      </c>
      <c r="Q190" s="364">
        <v>140</v>
      </c>
      <c r="R190" s="19" t="s">
        <v>776</v>
      </c>
      <c r="W190" s="19" t="str">
        <v>PS_Practice_USASr. Program Manager</v>
      </c>
      <c r="BO190"/>
      <c r="BP190"/>
    </row>
    <row r="191" spans="1:68" x14ac:dyDescent="0.25">
      <c r="A191" s="19" t="s">
        <v>1088</v>
      </c>
      <c r="B191" s="19"/>
      <c r="C191" s="19"/>
      <c r="D191" s="19"/>
      <c r="E191" s="19"/>
      <c r="F191" s="19"/>
      <c r="G191" s="206" t="s">
        <v>416</v>
      </c>
      <c r="H191" s="206" t="s">
        <v>219</v>
      </c>
      <c r="I191" s="46" t="str">
        <f t="shared" si="22"/>
        <v>PS_Practice_USASr. Application Lead</v>
      </c>
      <c r="J191" s="207" t="s">
        <v>96</v>
      </c>
      <c r="K191" s="206" t="s">
        <v>776</v>
      </c>
      <c r="M191" s="363" t="s">
        <v>194</v>
      </c>
      <c r="N191" s="19" t="s">
        <v>202</v>
      </c>
      <c r="O191" s="19" t="str">
        <f t="shared" si="23"/>
        <v>Cloud_Practice_USAEngineer</v>
      </c>
      <c r="P191" s="364">
        <v>240</v>
      </c>
      <c r="Q191" s="364">
        <v>130</v>
      </c>
      <c r="R191" s="19" t="s">
        <v>776</v>
      </c>
      <c r="W191" s="19" t="str">
        <v>PS_Practice_USASr. Application Lead</v>
      </c>
      <c r="BO191"/>
      <c r="BP191"/>
    </row>
    <row r="192" spans="1:68" x14ac:dyDescent="0.25">
      <c r="A192" s="19" t="s">
        <v>1089</v>
      </c>
      <c r="B192" s="19"/>
      <c r="C192" s="19"/>
      <c r="D192" s="19"/>
      <c r="E192" s="19"/>
      <c r="F192" s="19"/>
      <c r="G192" s="206" t="s">
        <v>416</v>
      </c>
      <c r="H192" s="206" t="s">
        <v>305</v>
      </c>
      <c r="I192" s="46" t="str">
        <f t="shared" si="22"/>
        <v>PS_Practice_USAFunctional Lead</v>
      </c>
      <c r="J192" s="207" t="s">
        <v>96</v>
      </c>
      <c r="K192" s="206" t="s">
        <v>776</v>
      </c>
      <c r="M192" s="363" t="s">
        <v>194</v>
      </c>
      <c r="N192" s="19" t="s">
        <v>195</v>
      </c>
      <c r="O192" s="19" t="str">
        <f t="shared" si="23"/>
        <v>Cloud_Practice_USAProgram Manager</v>
      </c>
      <c r="P192" s="364">
        <v>250</v>
      </c>
      <c r="Q192" s="364">
        <v>150</v>
      </c>
      <c r="R192" s="19" t="s">
        <v>776</v>
      </c>
      <c r="W192" s="19" t="str">
        <v>PS_Practice_USAFunctional Lead</v>
      </c>
      <c r="BO192"/>
      <c r="BP192"/>
    </row>
    <row r="193" spans="1:68" x14ac:dyDescent="0.25">
      <c r="A193" s="19" t="s">
        <v>1090</v>
      </c>
      <c r="B193" s="19"/>
      <c r="C193" s="19"/>
      <c r="D193" s="19"/>
      <c r="E193" s="19"/>
      <c r="F193" s="19"/>
      <c r="G193" s="206" t="s">
        <v>416</v>
      </c>
      <c r="H193" s="206" t="s">
        <v>313</v>
      </c>
      <c r="I193" s="46" t="str">
        <f t="shared" si="22"/>
        <v>PS_Practice_USASolution Architect</v>
      </c>
      <c r="J193" s="207" t="s">
        <v>96</v>
      </c>
      <c r="K193" s="206" t="s">
        <v>776</v>
      </c>
      <c r="M193" s="363" t="s">
        <v>194</v>
      </c>
      <c r="N193" s="19" t="s">
        <v>432</v>
      </c>
      <c r="O193" s="19" t="str">
        <f t="shared" si="23"/>
        <v>Cloud_Practice_USADeveloper</v>
      </c>
      <c r="P193" s="364">
        <v>265</v>
      </c>
      <c r="Q193" s="364">
        <v>150</v>
      </c>
      <c r="R193" s="19" t="s">
        <v>776</v>
      </c>
      <c r="W193" s="19" t="str">
        <v>PS_Practice_USASolution Architect</v>
      </c>
      <c r="BO193"/>
      <c r="BP193"/>
    </row>
    <row r="194" spans="1:68" x14ac:dyDescent="0.25">
      <c r="A194" s="19" t="s">
        <v>1091</v>
      </c>
      <c r="B194" s="19"/>
      <c r="C194" s="19"/>
      <c r="D194" s="19"/>
      <c r="E194" s="19"/>
      <c r="F194" s="19"/>
      <c r="G194" s="206" t="s">
        <v>416</v>
      </c>
      <c r="H194" s="206" t="s">
        <v>241</v>
      </c>
      <c r="I194" s="46" t="str">
        <f t="shared" si="22"/>
        <v>PS_Practice_USASr. Solution Architect</v>
      </c>
      <c r="J194" s="207" t="s">
        <v>96</v>
      </c>
      <c r="K194" s="206" t="s">
        <v>776</v>
      </c>
      <c r="M194" s="363" t="s">
        <v>194</v>
      </c>
      <c r="N194" s="19" t="s">
        <v>206</v>
      </c>
      <c r="O194" s="19" t="str">
        <f t="shared" si="23"/>
        <v>Cloud_Practice_USAArchitect</v>
      </c>
      <c r="P194" s="364">
        <v>300</v>
      </c>
      <c r="Q194" s="364">
        <v>160</v>
      </c>
      <c r="R194" s="19" t="s">
        <v>776</v>
      </c>
      <c r="W194" s="19" t="str">
        <v>PS_Practice_USASr. Solution Architect</v>
      </c>
      <c r="BO194"/>
      <c r="BP194"/>
    </row>
    <row r="195" spans="1:68" x14ac:dyDescent="0.25">
      <c r="A195" s="19"/>
      <c r="B195" s="19"/>
      <c r="C195" s="19"/>
      <c r="D195" s="19"/>
      <c r="E195" s="19"/>
      <c r="F195" s="19"/>
      <c r="G195" s="206" t="s">
        <v>416</v>
      </c>
      <c r="H195" s="206" t="s">
        <v>358</v>
      </c>
      <c r="I195" s="46" t="str">
        <f t="shared" si="22"/>
        <v>PS_Practice_USAPrincipal</v>
      </c>
      <c r="J195" s="207" t="s">
        <v>96</v>
      </c>
      <c r="K195" s="206" t="s">
        <v>776</v>
      </c>
      <c r="M195" s="363" t="s">
        <v>194</v>
      </c>
      <c r="N195" s="19" t="s">
        <v>204</v>
      </c>
      <c r="O195" s="19" t="str">
        <f t="shared" si="23"/>
        <v>Cloud_Practice_USAProgram Lead</v>
      </c>
      <c r="P195" s="364">
        <v>365</v>
      </c>
      <c r="Q195" s="364">
        <v>170</v>
      </c>
      <c r="R195" s="19" t="s">
        <v>776</v>
      </c>
      <c r="W195" s="19" t="str">
        <v>PS_Practice_USAPrincipal</v>
      </c>
      <c r="BO195"/>
      <c r="BP195"/>
    </row>
    <row r="196" spans="1:68" x14ac:dyDescent="0.25">
      <c r="A196" s="19"/>
      <c r="B196" s="19"/>
      <c r="C196" s="19"/>
      <c r="D196" s="19"/>
      <c r="E196" s="19"/>
      <c r="F196" s="19"/>
      <c r="G196" s="206" t="s">
        <v>1092</v>
      </c>
      <c r="H196" s="206" t="s">
        <v>407</v>
      </c>
      <c r="I196" s="46" t="str">
        <f t="shared" si="14"/>
        <v>PS_Practice_IndiaProject Coordinator</v>
      </c>
      <c r="J196" s="207" t="s">
        <v>96</v>
      </c>
      <c r="K196" s="206" t="s">
        <v>946</v>
      </c>
      <c r="M196" s="363" t="s">
        <v>194</v>
      </c>
      <c r="N196" s="19" t="s">
        <v>198</v>
      </c>
      <c r="O196" s="19" t="str">
        <f t="shared" si="23"/>
        <v>Cloud_Practice_USASr. Program Lead</v>
      </c>
      <c r="P196" s="21">
        <v>375</v>
      </c>
      <c r="Q196" s="21">
        <v>180</v>
      </c>
      <c r="R196" s="19" t="s">
        <v>776</v>
      </c>
      <c r="W196" s="19" t="str">
        <v>PS_Practice_IndiaProject Coordinator</v>
      </c>
      <c r="BO196"/>
      <c r="BP196"/>
    </row>
    <row r="197" spans="1:68" x14ac:dyDescent="0.25">
      <c r="A197" s="19"/>
      <c r="B197" s="19"/>
      <c r="C197" s="19"/>
      <c r="D197" s="19"/>
      <c r="E197" s="19"/>
      <c r="F197" s="19"/>
      <c r="G197" s="206" t="s">
        <v>1092</v>
      </c>
      <c r="H197" s="206" t="s">
        <v>226</v>
      </c>
      <c r="I197" s="46" t="str">
        <f t="shared" si="14"/>
        <v>PS_Practice_IndiaSoftware Engineer</v>
      </c>
      <c r="J197" s="207" t="s">
        <v>96</v>
      </c>
      <c r="K197" s="206" t="s">
        <v>946</v>
      </c>
      <c r="M197" s="19"/>
      <c r="N197" s="19"/>
      <c r="O197" s="19"/>
      <c r="P197" s="21"/>
      <c r="Q197" s="21"/>
      <c r="R197" s="19"/>
      <c r="W197" s="19" t="str">
        <v>PS_Practice_IndiaSoftware Engineer</v>
      </c>
      <c r="BO197"/>
      <c r="BP197"/>
    </row>
    <row r="198" spans="1:68" x14ac:dyDescent="0.25">
      <c r="A198" s="19"/>
      <c r="B198" s="19"/>
      <c r="C198" s="19"/>
      <c r="D198" s="19"/>
      <c r="E198" s="19"/>
      <c r="F198" s="19"/>
      <c r="G198" s="206" t="s">
        <v>1092</v>
      </c>
      <c r="H198" s="206" t="s">
        <v>381</v>
      </c>
      <c r="I198" s="46" t="str">
        <f t="shared" si="14"/>
        <v>PS_Practice_IndiaApplication Support Lead</v>
      </c>
      <c r="J198" s="207" t="s">
        <v>96</v>
      </c>
      <c r="K198" s="206" t="s">
        <v>946</v>
      </c>
      <c r="M198" s="363" t="s">
        <v>1070</v>
      </c>
      <c r="N198" s="19" t="s">
        <v>1071</v>
      </c>
      <c r="O198" s="19" t="str">
        <f>_xlfn.CONCAT(M198,N198)</f>
        <v>Cloud_Practice_IndiaAssociate</v>
      </c>
      <c r="P198" s="364">
        <v>35</v>
      </c>
      <c r="Q198" s="364">
        <v>11</v>
      </c>
      <c r="R198" s="19" t="s">
        <v>946</v>
      </c>
      <c r="W198" s="19" t="str">
        <v>PS_Practice_IndiaApplication Support Lead</v>
      </c>
      <c r="BO198"/>
      <c r="BP198"/>
    </row>
    <row r="199" spans="1:68" x14ac:dyDescent="0.25">
      <c r="A199" s="19"/>
      <c r="B199" s="19"/>
      <c r="C199" s="19"/>
      <c r="D199" s="19"/>
      <c r="E199" s="19"/>
      <c r="F199" s="19"/>
      <c r="G199" s="206" t="s">
        <v>1092</v>
      </c>
      <c r="H199" s="206" t="s">
        <v>200</v>
      </c>
      <c r="I199" s="46" t="str">
        <f t="shared" si="14"/>
        <v>PS_Practice_IndiaProject Manager</v>
      </c>
      <c r="J199" s="207" t="s">
        <v>96</v>
      </c>
      <c r="K199" s="206" t="s">
        <v>946</v>
      </c>
      <c r="M199" s="363" t="s">
        <v>1070</v>
      </c>
      <c r="N199" s="19" t="s">
        <v>202</v>
      </c>
      <c r="O199" s="19" t="str">
        <f>_xlfn.CONCAT(M199,N199)</f>
        <v>Cloud_Practice_IndiaEngineer</v>
      </c>
      <c r="P199" s="364">
        <v>40</v>
      </c>
      <c r="Q199" s="364">
        <v>17</v>
      </c>
      <c r="R199" s="19" t="s">
        <v>946</v>
      </c>
      <c r="W199" s="19" t="str">
        <v>PS_Practice_IndiaProject Manager</v>
      </c>
      <c r="BO199"/>
      <c r="BP199"/>
    </row>
    <row r="200" spans="1:68" x14ac:dyDescent="0.25">
      <c r="A200" s="19"/>
      <c r="B200" s="19"/>
      <c r="C200" s="19"/>
      <c r="D200" s="19"/>
      <c r="E200" s="19"/>
      <c r="F200" s="19"/>
      <c r="G200" s="206" t="s">
        <v>1092</v>
      </c>
      <c r="H200" s="206" t="s">
        <v>230</v>
      </c>
      <c r="I200" s="46" t="str">
        <f t="shared" si="14"/>
        <v>PS_Practice_IndiaSr. Software Engineer</v>
      </c>
      <c r="J200" s="207" t="s">
        <v>96</v>
      </c>
      <c r="K200" s="206" t="s">
        <v>946</v>
      </c>
      <c r="M200" s="363" t="s">
        <v>1070</v>
      </c>
      <c r="N200" s="19" t="s">
        <v>432</v>
      </c>
      <c r="O200" s="19" t="str">
        <f>_xlfn.CONCAT(M200,N200)</f>
        <v>Cloud_Practice_IndiaDeveloper</v>
      </c>
      <c r="P200" s="364">
        <v>50</v>
      </c>
      <c r="Q200" s="364">
        <v>22</v>
      </c>
      <c r="R200" s="19" t="s">
        <v>946</v>
      </c>
      <c r="W200" s="19" t="str">
        <v>PS_Practice_IndiaSr. Software Engineer</v>
      </c>
      <c r="BO200"/>
      <c r="BP200"/>
    </row>
    <row r="201" spans="1:68" x14ac:dyDescent="0.25">
      <c r="A201" s="19"/>
      <c r="B201" s="19"/>
      <c r="C201" s="19"/>
      <c r="D201" s="19"/>
      <c r="E201" s="19"/>
      <c r="F201" s="19"/>
      <c r="G201" s="206" t="s">
        <v>1092</v>
      </c>
      <c r="H201" s="206" t="s">
        <v>320</v>
      </c>
      <c r="I201" s="46" t="str">
        <f t="shared" si="14"/>
        <v>PS_Practice_IndiaSr. Application Support Lead</v>
      </c>
      <c r="J201" s="207" t="s">
        <v>96</v>
      </c>
      <c r="K201" s="206" t="s">
        <v>946</v>
      </c>
      <c r="M201" s="363" t="s">
        <v>1070</v>
      </c>
      <c r="N201" s="19" t="s">
        <v>206</v>
      </c>
      <c r="O201" s="19" t="str">
        <f>_xlfn.CONCAT(M201,N201)</f>
        <v>Cloud_Practice_IndiaArchitect</v>
      </c>
      <c r="P201" s="364">
        <v>60</v>
      </c>
      <c r="Q201" s="364">
        <v>27</v>
      </c>
      <c r="R201" s="19" t="s">
        <v>946</v>
      </c>
      <c r="W201" s="19" t="str">
        <v>PS_Practice_IndiaSr. Application Support Lead</v>
      </c>
      <c r="BO201"/>
      <c r="BP201"/>
    </row>
    <row r="202" spans="1:68" x14ac:dyDescent="0.25">
      <c r="A202" s="19"/>
      <c r="B202" s="19"/>
      <c r="C202" s="19"/>
      <c r="D202" s="19"/>
      <c r="E202" s="19"/>
      <c r="F202" s="19"/>
      <c r="G202" s="206" t="s">
        <v>1092</v>
      </c>
      <c r="H202" s="206" t="s">
        <v>216</v>
      </c>
      <c r="I202" s="46" t="str">
        <f t="shared" si="14"/>
        <v>PS_Practice_IndiaApplication Developer</v>
      </c>
      <c r="J202" s="207" t="s">
        <v>96</v>
      </c>
      <c r="K202" s="206" t="s">
        <v>946</v>
      </c>
      <c r="M202" s="363" t="s">
        <v>1070</v>
      </c>
      <c r="N202" s="19" t="s">
        <v>1076</v>
      </c>
      <c r="O202" s="19" t="str">
        <f>_xlfn.CONCAT(M202,N202)</f>
        <v>Cloud_Practice_IndiaAssociate Cloud Engineer</v>
      </c>
      <c r="P202" s="364">
        <v>125</v>
      </c>
      <c r="Q202" s="364">
        <v>65</v>
      </c>
      <c r="R202" s="19" t="s">
        <v>946</v>
      </c>
      <c r="W202" s="19" t="str">
        <v>PS_Practice_IndiaApplication Developer</v>
      </c>
      <c r="BO202"/>
      <c r="BP202"/>
    </row>
    <row r="203" spans="1:68" x14ac:dyDescent="0.25">
      <c r="A203" s="19"/>
      <c r="B203" s="19"/>
      <c r="C203" s="19"/>
      <c r="D203" s="19"/>
      <c r="E203" s="19"/>
      <c r="F203" s="19"/>
      <c r="G203" s="206" t="s">
        <v>1092</v>
      </c>
      <c r="H203" s="206" t="s">
        <v>272</v>
      </c>
      <c r="I203" s="46" t="str">
        <f t="shared" si="14"/>
        <v>PS_Practice_IndiaSr. Application Developer</v>
      </c>
      <c r="J203" s="207" t="s">
        <v>96</v>
      </c>
      <c r="K203" s="206" t="s">
        <v>946</v>
      </c>
      <c r="M203" s="19"/>
      <c r="N203" s="19"/>
      <c r="O203" s="19"/>
      <c r="P203" s="21"/>
      <c r="Q203" s="21"/>
      <c r="R203" s="19"/>
      <c r="W203" s="19" t="str">
        <v>PS_Practice_IndiaSr. Application Developer</v>
      </c>
      <c r="BO203"/>
      <c r="BP203"/>
    </row>
    <row r="204" spans="1:68" x14ac:dyDescent="0.25">
      <c r="A204" s="19"/>
      <c r="B204" s="19"/>
      <c r="C204" s="19"/>
      <c r="D204" s="19"/>
      <c r="E204" s="19"/>
      <c r="F204" s="19"/>
      <c r="G204" s="206" t="s">
        <v>1092</v>
      </c>
      <c r="H204" s="206" t="s">
        <v>307</v>
      </c>
      <c r="I204" s="46" t="str">
        <f t="shared" si="14"/>
        <v>PS_Practice_IndiaApplication Lead</v>
      </c>
      <c r="J204" s="207" t="s">
        <v>96</v>
      </c>
      <c r="K204" s="206" t="s">
        <v>946</v>
      </c>
      <c r="M204" s="19" t="s">
        <v>416</v>
      </c>
      <c r="N204" t="s">
        <v>429</v>
      </c>
      <c r="O204" s="19" t="str">
        <f t="shared" ref="O204:O219" si="24">_xlfn.CONCAT(M204,N204)</f>
        <v>PS_Practice_USADevOps Engineer</v>
      </c>
      <c r="P204" s="20">
        <v>135</v>
      </c>
      <c r="Q204" s="20">
        <v>105</v>
      </c>
      <c r="R204" s="19" t="s">
        <v>776</v>
      </c>
      <c r="W204" s="19" t="str">
        <v>PS_Practice_IndiaApplication Lead</v>
      </c>
      <c r="BO204"/>
      <c r="BP204"/>
    </row>
    <row r="205" spans="1:68" x14ac:dyDescent="0.25">
      <c r="A205" s="19"/>
      <c r="B205" s="19"/>
      <c r="C205" s="19"/>
      <c r="D205" s="19"/>
      <c r="E205" s="19"/>
      <c r="F205" s="19"/>
      <c r="G205" s="206" t="s">
        <v>1092</v>
      </c>
      <c r="H205" s="206" t="s">
        <v>219</v>
      </c>
      <c r="I205" s="46" t="str">
        <f t="shared" si="14"/>
        <v>PS_Practice_IndiaSr. Application Lead</v>
      </c>
      <c r="J205" s="207" t="s">
        <v>96</v>
      </c>
      <c r="K205" s="206" t="s">
        <v>946</v>
      </c>
      <c r="M205" s="19" t="s">
        <v>416</v>
      </c>
      <c r="N205" t="s">
        <v>407</v>
      </c>
      <c r="O205" s="19" t="str">
        <f t="shared" si="24"/>
        <v>PS_Practice_USAProject Coordinator</v>
      </c>
      <c r="P205" s="20">
        <v>190</v>
      </c>
      <c r="Q205" s="20">
        <v>120</v>
      </c>
      <c r="R205" s="19" t="s">
        <v>776</v>
      </c>
      <c r="W205" s="19" t="str">
        <v>PS_Practice_IndiaSr. Application Lead</v>
      </c>
      <c r="BO205"/>
      <c r="BP205"/>
    </row>
    <row r="206" spans="1:68" x14ac:dyDescent="0.25">
      <c r="A206" s="19"/>
      <c r="B206" s="19"/>
      <c r="C206" s="19"/>
      <c r="D206" s="19"/>
      <c r="E206" s="19"/>
      <c r="F206" s="19"/>
      <c r="G206" s="206" t="s">
        <v>1092</v>
      </c>
      <c r="H206" s="206" t="s">
        <v>313</v>
      </c>
      <c r="I206" s="46" t="str">
        <f t="shared" si="14"/>
        <v>PS_Practice_IndiaSolution Architect</v>
      </c>
      <c r="J206" s="207" t="s">
        <v>96</v>
      </c>
      <c r="K206" s="206" t="s">
        <v>946</v>
      </c>
      <c r="M206" s="19" t="s">
        <v>416</v>
      </c>
      <c r="N206" t="s">
        <v>381</v>
      </c>
      <c r="O206" s="19" t="str">
        <f t="shared" si="24"/>
        <v>PS_Practice_USAApplication Support Lead</v>
      </c>
      <c r="P206" s="20">
        <v>200</v>
      </c>
      <c r="Q206" s="20">
        <v>130</v>
      </c>
      <c r="R206" s="19" t="s">
        <v>776</v>
      </c>
      <c r="W206" s="19" t="str">
        <v>PS_Practice_IndiaSolution Architect</v>
      </c>
      <c r="BO206"/>
      <c r="BP206"/>
    </row>
    <row r="207" spans="1:68" x14ac:dyDescent="0.25">
      <c r="A207" s="19"/>
      <c r="B207" s="19"/>
      <c r="C207" s="19"/>
      <c r="D207" s="19"/>
      <c r="E207" s="19"/>
      <c r="F207" s="19"/>
      <c r="G207" s="206" t="s">
        <v>1092</v>
      </c>
      <c r="H207" s="206" t="s">
        <v>241</v>
      </c>
      <c r="I207" s="46" t="str">
        <f t="shared" si="14"/>
        <v>PS_Practice_IndiaSr. Solution Architect</v>
      </c>
      <c r="J207" s="207" t="s">
        <v>96</v>
      </c>
      <c r="K207" s="206" t="s">
        <v>946</v>
      </c>
      <c r="M207" s="19" t="s">
        <v>416</v>
      </c>
      <c r="N207" t="s">
        <v>320</v>
      </c>
      <c r="O207" s="19" t="str">
        <f t="shared" si="24"/>
        <v>PS_Practice_USASr. Application Support Lead</v>
      </c>
      <c r="P207" s="20">
        <v>210</v>
      </c>
      <c r="Q207" s="20">
        <v>140</v>
      </c>
      <c r="R207" s="19" t="s">
        <v>776</v>
      </c>
      <c r="W207" s="19" t="str">
        <v>PS_Practice_IndiaSr. Solution Architect</v>
      </c>
      <c r="BO207"/>
      <c r="BP207"/>
    </row>
    <row r="208" spans="1:68" x14ac:dyDescent="0.25">
      <c r="A208" s="19"/>
      <c r="B208" s="19"/>
      <c r="C208" s="19"/>
      <c r="D208" s="19"/>
      <c r="E208" s="19"/>
      <c r="F208" s="19"/>
      <c r="G208" s="206" t="s">
        <v>526</v>
      </c>
      <c r="H208" s="206" t="s">
        <v>484</v>
      </c>
      <c r="I208" s="46" t="str">
        <f t="shared" si="14"/>
        <v>TS_Practice_USAQA Tester - Manual</v>
      </c>
      <c r="J208" s="207" t="s">
        <v>96</v>
      </c>
      <c r="K208" s="206" t="s">
        <v>776</v>
      </c>
      <c r="M208" s="19" t="s">
        <v>416</v>
      </c>
      <c r="N208" t="s">
        <v>216</v>
      </c>
      <c r="O208" s="19" t="str">
        <f t="shared" si="24"/>
        <v>PS_Practice_USAApplication Developer</v>
      </c>
      <c r="P208" s="20">
        <v>215</v>
      </c>
      <c r="Q208" s="20">
        <v>125</v>
      </c>
      <c r="R208" s="19" t="s">
        <v>776</v>
      </c>
      <c r="W208" s="19" t="str">
        <v>TS_Practice_USAQA Tester - Manual</v>
      </c>
      <c r="BO208"/>
      <c r="BP208"/>
    </row>
    <row r="209" spans="1:68" x14ac:dyDescent="0.25">
      <c r="A209" s="19"/>
      <c r="B209" s="19"/>
      <c r="C209" s="19"/>
      <c r="D209" s="19"/>
      <c r="E209" s="19"/>
      <c r="F209" s="19"/>
      <c r="G209" s="206" t="s">
        <v>526</v>
      </c>
      <c r="H209" s="206" t="s">
        <v>446</v>
      </c>
      <c r="I209" s="46" t="str">
        <f t="shared" si="14"/>
        <v>TS_Practice_USASr. QA Tester - Manual</v>
      </c>
      <c r="J209" s="207" t="s">
        <v>96</v>
      </c>
      <c r="K209" s="206" t="s">
        <v>776</v>
      </c>
      <c r="M209" s="19" t="s">
        <v>416</v>
      </c>
      <c r="N209" t="s">
        <v>200</v>
      </c>
      <c r="O209" s="19" t="str">
        <f t="shared" si="24"/>
        <v>PS_Practice_USAProject Manager</v>
      </c>
      <c r="P209" s="20">
        <v>230</v>
      </c>
      <c r="Q209" s="20">
        <v>130</v>
      </c>
      <c r="R209" s="19" t="s">
        <v>776</v>
      </c>
      <c r="W209" s="19" t="str">
        <v>TS_Practice_USASr. QA Tester - Manual</v>
      </c>
      <c r="BO209"/>
      <c r="BP209"/>
    </row>
    <row r="210" spans="1:68" x14ac:dyDescent="0.25">
      <c r="A210" s="19"/>
      <c r="B210" s="19"/>
      <c r="C210" s="19"/>
      <c r="D210" s="19"/>
      <c r="E210" s="19"/>
      <c r="F210" s="19"/>
      <c r="G210" s="206" t="s">
        <v>526</v>
      </c>
      <c r="H210" s="206" t="s">
        <v>427</v>
      </c>
      <c r="I210" s="46" t="str">
        <f t="shared" si="14"/>
        <v>TS_Practice_USABusiness/Data Analyst</v>
      </c>
      <c r="J210" s="207" t="s">
        <v>96</v>
      </c>
      <c r="K210" s="206" t="s">
        <v>776</v>
      </c>
      <c r="M210" s="19" t="s">
        <v>416</v>
      </c>
      <c r="N210" t="s">
        <v>272</v>
      </c>
      <c r="O210" s="19" t="str">
        <f t="shared" si="24"/>
        <v>PS_Practice_USASr. Application Developer</v>
      </c>
      <c r="P210" s="20">
        <v>240</v>
      </c>
      <c r="Q210" s="20">
        <v>135</v>
      </c>
      <c r="R210" s="19" t="s">
        <v>776</v>
      </c>
      <c r="W210" s="19" t="str">
        <v>TS_Practice_USABusiness/Data Analyst</v>
      </c>
      <c r="BO210"/>
      <c r="BP210"/>
    </row>
    <row r="211" spans="1:68" x14ac:dyDescent="0.25">
      <c r="A211" s="19"/>
      <c r="B211" s="19"/>
      <c r="C211" s="19"/>
      <c r="D211" s="19"/>
      <c r="E211" s="19"/>
      <c r="F211" s="19"/>
      <c r="G211" s="206" t="s">
        <v>526</v>
      </c>
      <c r="H211" s="206" t="s">
        <v>468</v>
      </c>
      <c r="I211" s="46" t="str">
        <f t="shared" si="14"/>
        <v>TS_Practice_USASr. QA Tester - Automation</v>
      </c>
      <c r="J211" s="207" t="s">
        <v>96</v>
      </c>
      <c r="K211" s="206" t="s">
        <v>776</v>
      </c>
      <c r="M211" s="19" t="s">
        <v>416</v>
      </c>
      <c r="N211" t="s">
        <v>95</v>
      </c>
      <c r="O211" s="19" t="str">
        <f t="shared" si="24"/>
        <v>PS_Practice_USASr. Project Manager</v>
      </c>
      <c r="P211" s="20">
        <v>250</v>
      </c>
      <c r="Q211" s="20">
        <v>140</v>
      </c>
      <c r="R211" s="19" t="s">
        <v>776</v>
      </c>
      <c r="W211" s="19" t="str">
        <v>TS_Practice_USASr. QA Tester - Automation</v>
      </c>
      <c r="BO211"/>
      <c r="BP211"/>
    </row>
    <row r="212" spans="1:68" x14ac:dyDescent="0.25">
      <c r="A212" s="19"/>
      <c r="B212" s="19"/>
      <c r="C212" s="19"/>
      <c r="D212" s="19"/>
      <c r="E212" s="19"/>
      <c r="F212" s="19"/>
      <c r="G212" s="206" t="s">
        <v>526</v>
      </c>
      <c r="H212" s="206" t="s">
        <v>534</v>
      </c>
      <c r="I212" s="46" t="str">
        <f t="shared" ref="I212:I287" si="25">_xlfn.CONCAT(G212,H212)</f>
        <v>TS_Practice_USASecurity Engineer</v>
      </c>
      <c r="J212" s="207" t="s">
        <v>96</v>
      </c>
      <c r="K212" s="206" t="s">
        <v>776</v>
      </c>
      <c r="M212" s="19" t="s">
        <v>416</v>
      </c>
      <c r="N212" t="s">
        <v>307</v>
      </c>
      <c r="O212" s="19" t="str">
        <f t="shared" si="24"/>
        <v>PS_Practice_USAApplication Lead</v>
      </c>
      <c r="P212" s="20">
        <v>265</v>
      </c>
      <c r="Q212" s="20">
        <v>145</v>
      </c>
      <c r="R212" s="19" t="s">
        <v>776</v>
      </c>
      <c r="W212" s="19" t="str">
        <v>TS_Practice_USASecurity Engineer</v>
      </c>
      <c r="BO212"/>
      <c r="BP212"/>
    </row>
    <row r="213" spans="1:68" x14ac:dyDescent="0.25">
      <c r="A213" s="19"/>
      <c r="B213" s="19"/>
      <c r="C213" s="19"/>
      <c r="D213" s="19"/>
      <c r="E213" s="19"/>
      <c r="F213" s="19"/>
      <c r="G213" s="206" t="s">
        <v>526</v>
      </c>
      <c r="H213" s="206" t="s">
        <v>432</v>
      </c>
      <c r="I213" s="46" t="str">
        <f t="shared" si="25"/>
        <v>TS_Practice_USADeveloper</v>
      </c>
      <c r="J213" s="207" t="s">
        <v>96</v>
      </c>
      <c r="K213" s="206" t="s">
        <v>776</v>
      </c>
      <c r="M213" s="19" t="s">
        <v>416</v>
      </c>
      <c r="N213" t="s">
        <v>195</v>
      </c>
      <c r="O213" s="19" t="str">
        <f t="shared" si="24"/>
        <v>PS_Practice_USAProgram Manager</v>
      </c>
      <c r="P213" s="20">
        <v>265</v>
      </c>
      <c r="Q213" s="20">
        <v>145</v>
      </c>
      <c r="R213" s="19" t="s">
        <v>776</v>
      </c>
      <c r="W213" s="19" t="str">
        <v>TS_Practice_USADeveloper</v>
      </c>
      <c r="BO213"/>
      <c r="BP213"/>
    </row>
    <row r="214" spans="1:68" x14ac:dyDescent="0.25">
      <c r="A214" s="19"/>
      <c r="B214" s="19"/>
      <c r="C214" s="19"/>
      <c r="D214" s="19"/>
      <c r="E214" s="19"/>
      <c r="F214" s="19"/>
      <c r="G214" s="206" t="s">
        <v>526</v>
      </c>
      <c r="H214" s="206" t="s">
        <v>1093</v>
      </c>
      <c r="I214" s="46" t="str">
        <f t="shared" si="25"/>
        <v>TS_Practice_USASr. DevOps Engineer</v>
      </c>
      <c r="J214" s="207" t="s">
        <v>96</v>
      </c>
      <c r="K214" s="206" t="s">
        <v>776</v>
      </c>
      <c r="M214" s="19" t="s">
        <v>416</v>
      </c>
      <c r="N214" t="s">
        <v>421</v>
      </c>
      <c r="O214" s="19" t="str">
        <f t="shared" si="24"/>
        <v>PS_Practice_USASr. Program Manager</v>
      </c>
      <c r="P214" s="20">
        <v>275</v>
      </c>
      <c r="Q214" s="20">
        <v>155</v>
      </c>
      <c r="R214" s="19" t="s">
        <v>776</v>
      </c>
      <c r="W214" s="19" t="str">
        <v>TS_Practice_USASr. DevOps Engineer</v>
      </c>
      <c r="BO214"/>
      <c r="BP214"/>
    </row>
    <row r="215" spans="1:68" x14ac:dyDescent="0.25">
      <c r="A215" s="19"/>
      <c r="B215" s="19"/>
      <c r="C215" s="19"/>
      <c r="D215" s="19"/>
      <c r="E215" s="19"/>
      <c r="F215" s="19"/>
      <c r="G215" s="206" t="s">
        <v>526</v>
      </c>
      <c r="H215" s="206" t="s">
        <v>448</v>
      </c>
      <c r="I215" s="46" t="str">
        <f t="shared" si="25"/>
        <v>TS_Practice_USASr. Developer</v>
      </c>
      <c r="J215" s="207" t="s">
        <v>96</v>
      </c>
      <c r="K215" s="206" t="s">
        <v>776</v>
      </c>
      <c r="M215" s="19" t="s">
        <v>416</v>
      </c>
      <c r="N215" t="s">
        <v>219</v>
      </c>
      <c r="O215" s="19" t="str">
        <f t="shared" si="24"/>
        <v>PS_Practice_USASr. Application Lead</v>
      </c>
      <c r="P215" s="20">
        <v>290</v>
      </c>
      <c r="Q215" s="20">
        <v>160</v>
      </c>
      <c r="R215" s="19" t="s">
        <v>776</v>
      </c>
      <c r="W215" s="19" t="str">
        <v>TS_Practice_USASr. Developer</v>
      </c>
      <c r="BO215"/>
      <c r="BP215"/>
    </row>
    <row r="216" spans="1:68" x14ac:dyDescent="0.25">
      <c r="A216" s="19"/>
      <c r="B216" s="19"/>
      <c r="C216" s="19"/>
      <c r="D216" s="19"/>
      <c r="E216" s="19"/>
      <c r="F216" s="19"/>
      <c r="G216" s="206" t="s">
        <v>526</v>
      </c>
      <c r="H216" s="206" t="s">
        <v>1094</v>
      </c>
      <c r="I216" s="46" t="str">
        <f t="shared" si="25"/>
        <v>TS_Practice_USASupport Lead</v>
      </c>
      <c r="J216" s="207" t="s">
        <v>96</v>
      </c>
      <c r="K216" s="206" t="s">
        <v>776</v>
      </c>
      <c r="M216" s="19" t="s">
        <v>416</v>
      </c>
      <c r="N216" t="s">
        <v>305</v>
      </c>
      <c r="O216" s="19" t="str">
        <f t="shared" si="24"/>
        <v>PS_Practice_USAFunctional Lead</v>
      </c>
      <c r="P216" s="20">
        <v>315</v>
      </c>
      <c r="Q216" s="20">
        <v>170</v>
      </c>
      <c r="R216" s="19" t="s">
        <v>776</v>
      </c>
      <c r="W216" s="19" t="str">
        <v>TS_Practice_USASupport Lead</v>
      </c>
      <c r="BO216"/>
      <c r="BP216"/>
    </row>
    <row r="217" spans="1:68" x14ac:dyDescent="0.25">
      <c r="A217" s="19"/>
      <c r="B217" s="19"/>
      <c r="C217" s="19"/>
      <c r="D217" s="19"/>
      <c r="E217" s="19"/>
      <c r="F217" s="19"/>
      <c r="G217" s="206" t="s">
        <v>526</v>
      </c>
      <c r="H217" s="206" t="s">
        <v>506</v>
      </c>
      <c r="I217" s="46" t="str">
        <f t="shared" si="25"/>
        <v>TS_Practice_USASr. DBA</v>
      </c>
      <c r="J217" s="207" t="s">
        <v>96</v>
      </c>
      <c r="K217" s="206" t="s">
        <v>776</v>
      </c>
      <c r="M217" s="19" t="s">
        <v>416</v>
      </c>
      <c r="N217" t="s">
        <v>313</v>
      </c>
      <c r="O217" s="19" t="str">
        <f t="shared" si="24"/>
        <v>PS_Practice_USASolution Architect</v>
      </c>
      <c r="P217" s="20">
        <v>365</v>
      </c>
      <c r="Q217" s="20">
        <v>185</v>
      </c>
      <c r="R217" s="19" t="s">
        <v>776</v>
      </c>
      <c r="W217" s="19" t="str">
        <v>TS_Practice_USASr. DBA</v>
      </c>
      <c r="BO217"/>
      <c r="BP217"/>
    </row>
    <row r="218" spans="1:68" x14ac:dyDescent="0.25">
      <c r="A218" s="19"/>
      <c r="B218" s="19"/>
      <c r="C218" s="19"/>
      <c r="D218" s="19"/>
      <c r="E218" s="19"/>
      <c r="F218" s="19"/>
      <c r="G218" s="206" t="s">
        <v>526</v>
      </c>
      <c r="H218" s="206" t="s">
        <v>1095</v>
      </c>
      <c r="I218" s="46" t="str">
        <f t="shared" si="25"/>
        <v>TS_Practice_USASr. Salesforce Developer</v>
      </c>
      <c r="J218" s="207" t="s">
        <v>96</v>
      </c>
      <c r="K218" s="206" t="s">
        <v>776</v>
      </c>
      <c r="M218" s="19" t="s">
        <v>416</v>
      </c>
      <c r="N218" t="s">
        <v>241</v>
      </c>
      <c r="O218" s="19" t="str">
        <f t="shared" si="24"/>
        <v>PS_Practice_USASr. Solution Architect</v>
      </c>
      <c r="P218" s="20">
        <v>390</v>
      </c>
      <c r="Q218" s="20">
        <v>195</v>
      </c>
      <c r="R218" s="19" t="s">
        <v>776</v>
      </c>
      <c r="W218" s="19" t="str">
        <v>TS_Practice_USASr. Salesforce Developer</v>
      </c>
      <c r="BO218"/>
      <c r="BP218"/>
    </row>
    <row r="219" spans="1:68" x14ac:dyDescent="0.25">
      <c r="A219" s="19"/>
      <c r="B219" s="19"/>
      <c r="C219" s="19"/>
      <c r="D219" s="19"/>
      <c r="E219" s="19"/>
      <c r="F219" s="19"/>
      <c r="G219" s="206" t="s">
        <v>526</v>
      </c>
      <c r="H219" s="206" t="s">
        <v>1096</v>
      </c>
      <c r="I219" s="46" t="str">
        <f t="shared" si="25"/>
        <v>TS_Practice_USAScrum Master</v>
      </c>
      <c r="J219" s="207" t="s">
        <v>96</v>
      </c>
      <c r="K219" s="206" t="s">
        <v>776</v>
      </c>
      <c r="M219" s="19" t="s">
        <v>416</v>
      </c>
      <c r="N219" t="s">
        <v>358</v>
      </c>
      <c r="O219" s="19" t="str">
        <f t="shared" si="24"/>
        <v>PS_Practice_USAPrincipal</v>
      </c>
      <c r="P219" s="20">
        <v>415</v>
      </c>
      <c r="Q219" s="20">
        <v>205</v>
      </c>
      <c r="R219" s="19" t="s">
        <v>776</v>
      </c>
      <c r="W219" s="19" t="str">
        <v>TS_Practice_USAScrum Master</v>
      </c>
      <c r="BO219"/>
      <c r="BP219"/>
    </row>
    <row r="220" spans="1:68" x14ac:dyDescent="0.25">
      <c r="A220" s="19"/>
      <c r="B220" s="19"/>
      <c r="C220" s="19"/>
      <c r="D220" s="19"/>
      <c r="E220" s="19"/>
      <c r="F220" s="19"/>
      <c r="G220" s="206" t="s">
        <v>526</v>
      </c>
      <c r="H220" s="206" t="s">
        <v>452</v>
      </c>
      <c r="I220" s="46" t="str">
        <f t="shared" si="25"/>
        <v>TS_Practice_USASr. Data Engineer</v>
      </c>
      <c r="J220" s="207" t="s">
        <v>96</v>
      </c>
      <c r="K220" s="206" t="s">
        <v>776</v>
      </c>
      <c r="M220" s="19"/>
      <c r="N220" s="19"/>
      <c r="O220" s="19"/>
      <c r="P220" s="21"/>
      <c r="Q220" s="21"/>
      <c r="R220" s="19"/>
      <c r="W220" s="19" t="str">
        <v>TS_Practice_USASr. Data Engineer</v>
      </c>
      <c r="BO220"/>
      <c r="BP220"/>
    </row>
    <row r="221" spans="1:68" x14ac:dyDescent="0.25">
      <c r="A221" s="19"/>
      <c r="B221" s="19"/>
      <c r="C221" s="19"/>
      <c r="D221" s="19"/>
      <c r="E221" s="19"/>
      <c r="F221" s="19"/>
      <c r="G221" s="206" t="s">
        <v>526</v>
      </c>
      <c r="H221" s="206" t="s">
        <v>470</v>
      </c>
      <c r="I221" s="46" t="str">
        <f t="shared" si="25"/>
        <v>TS_Practice_USATechnical Lead</v>
      </c>
      <c r="J221" s="207" t="s">
        <v>96</v>
      </c>
      <c r="K221" s="206" t="s">
        <v>776</v>
      </c>
      <c r="M221" s="19" t="s">
        <v>1092</v>
      </c>
      <c r="N221" t="s">
        <v>407</v>
      </c>
      <c r="O221" s="19" t="str">
        <f t="shared" ref="O221:O232" si="26">_xlfn.CONCAT(M221,N221)</f>
        <v>PS_Practice_IndiaProject Coordinator</v>
      </c>
      <c r="P221" s="20">
        <v>35</v>
      </c>
      <c r="Q221" s="20">
        <v>17</v>
      </c>
      <c r="R221" s="19" t="s">
        <v>946</v>
      </c>
      <c r="W221" s="19" t="str">
        <v>TS_Practice_USATechnical Lead</v>
      </c>
      <c r="BO221"/>
      <c r="BP221"/>
    </row>
    <row r="222" spans="1:68" x14ac:dyDescent="0.25">
      <c r="A222" s="19"/>
      <c r="B222" s="19"/>
      <c r="C222" s="19"/>
      <c r="D222" s="19"/>
      <c r="E222" s="19"/>
      <c r="F222" s="19"/>
      <c r="G222" s="206" t="s">
        <v>526</v>
      </c>
      <c r="H222" s="206" t="s">
        <v>206</v>
      </c>
      <c r="I222" s="46" t="str">
        <f t="shared" si="25"/>
        <v>TS_Practice_USAArchitect</v>
      </c>
      <c r="J222" s="207" t="s">
        <v>96</v>
      </c>
      <c r="K222" s="206" t="s">
        <v>776</v>
      </c>
      <c r="M222" s="19" t="s">
        <v>1092</v>
      </c>
      <c r="N222" t="s">
        <v>226</v>
      </c>
      <c r="O222" s="19" t="str">
        <f t="shared" si="26"/>
        <v>PS_Practice_IndiaSoftware Engineer</v>
      </c>
      <c r="P222" s="20">
        <v>35</v>
      </c>
      <c r="Q222" s="20">
        <v>11</v>
      </c>
      <c r="R222" s="19" t="s">
        <v>946</v>
      </c>
      <c r="W222" s="19" t="str">
        <v>TS_Practice_USAArchitect</v>
      </c>
      <c r="BO222"/>
      <c r="BP222"/>
    </row>
    <row r="223" spans="1:68" x14ac:dyDescent="0.25">
      <c r="A223" s="19"/>
      <c r="B223" s="19"/>
      <c r="C223" s="19"/>
      <c r="D223" s="19"/>
      <c r="E223" s="19"/>
      <c r="F223" s="19"/>
      <c r="G223" s="206" t="s">
        <v>526</v>
      </c>
      <c r="H223" s="206" t="s">
        <v>200</v>
      </c>
      <c r="I223" s="46" t="str">
        <f t="shared" si="25"/>
        <v>TS_Practice_USAProject Manager</v>
      </c>
      <c r="J223" s="207" t="s">
        <v>96</v>
      </c>
      <c r="K223" s="206" t="s">
        <v>776</v>
      </c>
      <c r="M223" s="19" t="s">
        <v>1092</v>
      </c>
      <c r="N223" t="s">
        <v>381</v>
      </c>
      <c r="O223" s="19" t="str">
        <f t="shared" si="26"/>
        <v>PS_Practice_IndiaApplication Support Lead</v>
      </c>
      <c r="P223" s="20">
        <v>40</v>
      </c>
      <c r="Q223" s="20">
        <v>17</v>
      </c>
      <c r="R223" s="19" t="s">
        <v>946</v>
      </c>
      <c r="W223" s="19" t="str">
        <v>TS_Practice_USAProject Manager</v>
      </c>
      <c r="BO223"/>
      <c r="BP223"/>
    </row>
    <row r="224" spans="1:68" x14ac:dyDescent="0.25">
      <c r="A224" s="19"/>
      <c r="B224" s="19"/>
      <c r="C224" s="19"/>
      <c r="D224" s="19"/>
      <c r="E224" s="19"/>
      <c r="F224" s="19"/>
      <c r="G224" s="206" t="s">
        <v>526</v>
      </c>
      <c r="H224" s="206" t="s">
        <v>530</v>
      </c>
      <c r="I224" s="46" t="str">
        <f t="shared" si="25"/>
        <v>TS_Practice_USASr. Architect</v>
      </c>
      <c r="J224" s="207" t="s">
        <v>96</v>
      </c>
      <c r="K224" s="206" t="s">
        <v>776</v>
      </c>
      <c r="M224" s="19" t="s">
        <v>1092</v>
      </c>
      <c r="N224" t="s">
        <v>200</v>
      </c>
      <c r="O224" s="19" t="str">
        <f t="shared" si="26"/>
        <v>PS_Practice_IndiaProject Manager</v>
      </c>
      <c r="P224" s="20">
        <v>45</v>
      </c>
      <c r="Q224" s="20">
        <v>22</v>
      </c>
      <c r="R224" s="19" t="s">
        <v>946</v>
      </c>
      <c r="W224" s="19" t="str">
        <v>TS_Practice_USASr. Architect</v>
      </c>
      <c r="BO224"/>
      <c r="BP224"/>
    </row>
    <row r="225" spans="1:68" x14ac:dyDescent="0.25">
      <c r="A225" s="19"/>
      <c r="B225" s="19"/>
      <c r="C225" s="19"/>
      <c r="D225" s="19"/>
      <c r="E225" s="19"/>
      <c r="F225" s="19"/>
      <c r="G225" s="206" t="s">
        <v>526</v>
      </c>
      <c r="H225" s="206" t="s">
        <v>195</v>
      </c>
      <c r="I225" s="46" t="str">
        <f t="shared" si="25"/>
        <v>TS_Practice_USAProgram Manager</v>
      </c>
      <c r="J225" s="207" t="s">
        <v>96</v>
      </c>
      <c r="K225" s="206" t="s">
        <v>776</v>
      </c>
      <c r="M225" s="19" t="s">
        <v>1092</v>
      </c>
      <c r="N225" t="s">
        <v>230</v>
      </c>
      <c r="O225" s="19" t="str">
        <f t="shared" si="26"/>
        <v>PS_Practice_IndiaSr. Software Engineer</v>
      </c>
      <c r="P225" s="20">
        <v>45</v>
      </c>
      <c r="Q225" s="20">
        <v>13</v>
      </c>
      <c r="R225" s="19" t="s">
        <v>946</v>
      </c>
      <c r="W225" s="19" t="str">
        <v>TS_Practice_USAProgram Manager</v>
      </c>
      <c r="BO225"/>
      <c r="BP225"/>
    </row>
    <row r="226" spans="1:68" x14ac:dyDescent="0.25">
      <c r="A226" s="19"/>
      <c r="B226" s="19"/>
      <c r="C226" s="19"/>
      <c r="D226" s="19"/>
      <c r="E226" s="19"/>
      <c r="F226" s="19"/>
      <c r="G226" s="206" t="s">
        <v>426</v>
      </c>
      <c r="H226" s="206" t="s">
        <v>226</v>
      </c>
      <c r="I226" s="46" t="str">
        <f t="shared" si="25"/>
        <v>TS_Practice_IndiaSoftware Engineer</v>
      </c>
      <c r="J226" s="207" t="s">
        <v>96</v>
      </c>
      <c r="K226" s="206" t="s">
        <v>946</v>
      </c>
      <c r="M226" s="19" t="s">
        <v>1092</v>
      </c>
      <c r="N226" t="s">
        <v>320</v>
      </c>
      <c r="O226" s="19" t="str">
        <f t="shared" si="26"/>
        <v>PS_Practice_IndiaSr. Application Support Lead</v>
      </c>
      <c r="P226" s="20">
        <v>50</v>
      </c>
      <c r="Q226" s="20">
        <v>22</v>
      </c>
      <c r="R226" s="19" t="s">
        <v>946</v>
      </c>
      <c r="W226" s="19" t="str">
        <v>TS_Practice_IndiaSoftware Engineer</v>
      </c>
      <c r="BO226"/>
      <c r="BP226"/>
    </row>
    <row r="227" spans="1:68" x14ac:dyDescent="0.25">
      <c r="A227" s="19"/>
      <c r="B227" s="19"/>
      <c r="C227" s="19"/>
      <c r="D227" s="19"/>
      <c r="E227" s="19"/>
      <c r="F227" s="19"/>
      <c r="G227" s="206" t="s">
        <v>426</v>
      </c>
      <c r="H227" s="206" t="s">
        <v>230</v>
      </c>
      <c r="I227" s="46" t="str">
        <f t="shared" ref="I227:I246" si="27">_xlfn.CONCAT(G227,H227)</f>
        <v>TS_Practice_IndiaSr. Software Engineer</v>
      </c>
      <c r="J227" s="207" t="s">
        <v>96</v>
      </c>
      <c r="K227" s="206" t="s">
        <v>946</v>
      </c>
      <c r="M227" s="19" t="s">
        <v>1092</v>
      </c>
      <c r="N227" t="s">
        <v>216</v>
      </c>
      <c r="O227" s="19" t="str">
        <f t="shared" si="26"/>
        <v>PS_Practice_IndiaApplication Developer</v>
      </c>
      <c r="P227" s="20">
        <v>55</v>
      </c>
      <c r="Q227" s="20">
        <v>15</v>
      </c>
      <c r="R227" s="19" t="s">
        <v>946</v>
      </c>
      <c r="W227" s="19" t="str">
        <v>TS_Practice_IndiaSr. Software Engineer</v>
      </c>
      <c r="BO227"/>
      <c r="BP227"/>
    </row>
    <row r="228" spans="1:68" x14ac:dyDescent="0.25">
      <c r="A228" s="19"/>
      <c r="B228" s="19"/>
      <c r="C228" s="19"/>
      <c r="D228" s="19"/>
      <c r="E228" s="19"/>
      <c r="F228" s="19"/>
      <c r="G228" s="206" t="s">
        <v>426</v>
      </c>
      <c r="H228" s="206" t="s">
        <v>432</v>
      </c>
      <c r="I228" s="46" t="str">
        <f t="shared" si="27"/>
        <v>TS_Practice_IndiaDeveloper</v>
      </c>
      <c r="J228" s="207" t="s">
        <v>96</v>
      </c>
      <c r="K228" s="206" t="s">
        <v>946</v>
      </c>
      <c r="M228" s="19" t="s">
        <v>1092</v>
      </c>
      <c r="N228" t="s">
        <v>272</v>
      </c>
      <c r="O228" s="19" t="str">
        <f t="shared" si="26"/>
        <v>PS_Practice_IndiaSr. Application Developer</v>
      </c>
      <c r="P228" s="20">
        <v>65</v>
      </c>
      <c r="Q228" s="20">
        <v>17</v>
      </c>
      <c r="R228" s="19" t="s">
        <v>946</v>
      </c>
      <c r="W228" s="19" t="str">
        <v>TS_Practice_IndiaDeveloper</v>
      </c>
      <c r="BO228"/>
      <c r="BP228"/>
    </row>
    <row r="229" spans="1:68" x14ac:dyDescent="0.25">
      <c r="A229" s="19"/>
      <c r="B229" s="19"/>
      <c r="C229" s="19"/>
      <c r="D229" s="19"/>
      <c r="E229" s="19"/>
      <c r="F229" s="19"/>
      <c r="G229" s="206" t="s">
        <v>426</v>
      </c>
      <c r="H229" s="206" t="s">
        <v>438</v>
      </c>
      <c r="I229" s="46" t="str">
        <f t="shared" si="27"/>
        <v>TS_Practice_IndiaQA Tester - Automation</v>
      </c>
      <c r="J229" s="207" t="s">
        <v>96</v>
      </c>
      <c r="K229" s="206" t="s">
        <v>946</v>
      </c>
      <c r="M229" s="19" t="s">
        <v>1092</v>
      </c>
      <c r="N229" t="s">
        <v>307</v>
      </c>
      <c r="O229" s="19" t="str">
        <f t="shared" si="26"/>
        <v>PS_Practice_IndiaApplication Lead</v>
      </c>
      <c r="P229" s="20">
        <v>75</v>
      </c>
      <c r="Q229" s="20">
        <v>22</v>
      </c>
      <c r="R229" s="19" t="s">
        <v>946</v>
      </c>
      <c r="W229" s="19" t="str">
        <v>TS_Practice_IndiaQA Tester - Automation</v>
      </c>
      <c r="BO229"/>
      <c r="BP229"/>
    </row>
    <row r="230" spans="1:68" x14ac:dyDescent="0.25">
      <c r="A230" s="19"/>
      <c r="B230" s="19"/>
      <c r="C230" s="19"/>
      <c r="D230" s="19"/>
      <c r="E230" s="19"/>
      <c r="F230" s="19"/>
      <c r="G230" s="206" t="s">
        <v>426</v>
      </c>
      <c r="H230" s="206" t="s">
        <v>446</v>
      </c>
      <c r="I230" s="46" t="str">
        <f t="shared" si="27"/>
        <v>TS_Practice_IndiaSr. QA Tester - Manual</v>
      </c>
      <c r="J230" s="207" t="s">
        <v>96</v>
      </c>
      <c r="K230" s="206" t="s">
        <v>946</v>
      </c>
      <c r="M230" s="19" t="s">
        <v>1092</v>
      </c>
      <c r="N230" t="s">
        <v>219</v>
      </c>
      <c r="O230" s="19" t="str">
        <f t="shared" si="26"/>
        <v>PS_Practice_IndiaSr. Application Lead</v>
      </c>
      <c r="P230" s="20">
        <v>85</v>
      </c>
      <c r="Q230" s="20">
        <v>27</v>
      </c>
      <c r="R230" s="19" t="s">
        <v>946</v>
      </c>
      <c r="W230" s="19" t="str">
        <v>TS_Practice_IndiaSr. QA Tester - Manual</v>
      </c>
      <c r="BO230"/>
      <c r="BP230"/>
    </row>
    <row r="231" spans="1:68" x14ac:dyDescent="0.25">
      <c r="A231" s="19"/>
      <c r="B231" s="19"/>
      <c r="C231" s="19"/>
      <c r="D231" s="19"/>
      <c r="E231" s="19"/>
      <c r="F231" s="19"/>
      <c r="G231" s="206" t="s">
        <v>426</v>
      </c>
      <c r="H231" s="206" t="s">
        <v>484</v>
      </c>
      <c r="I231" s="46" t="str">
        <f t="shared" si="27"/>
        <v>TS_Practice_IndiaQA Tester - Manual</v>
      </c>
      <c r="J231" s="207" t="s">
        <v>96</v>
      </c>
      <c r="K231" s="206" t="s">
        <v>946</v>
      </c>
      <c r="M231" s="19" t="s">
        <v>1092</v>
      </c>
      <c r="N231" t="s">
        <v>313</v>
      </c>
      <c r="O231" s="19" t="str">
        <f t="shared" si="26"/>
        <v>PS_Practice_IndiaSolution Architect</v>
      </c>
      <c r="P231" s="20">
        <v>95</v>
      </c>
      <c r="Q231" s="20">
        <v>32</v>
      </c>
      <c r="R231" s="19" t="s">
        <v>946</v>
      </c>
      <c r="W231" s="19" t="str">
        <v>TS_Practice_IndiaQA Tester - Manual</v>
      </c>
      <c r="BO231"/>
      <c r="BP231"/>
    </row>
    <row r="232" spans="1:68" x14ac:dyDescent="0.25">
      <c r="A232" s="19"/>
      <c r="B232" s="19"/>
      <c r="C232" s="19"/>
      <c r="D232" s="19"/>
      <c r="E232" s="19"/>
      <c r="F232" s="19"/>
      <c r="G232" s="206" t="s">
        <v>426</v>
      </c>
      <c r="H232" s="206" t="s">
        <v>1097</v>
      </c>
      <c r="I232" s="46" t="str">
        <f t="shared" si="27"/>
        <v>TS_Practice_IndiaSr. Support Engineer</v>
      </c>
      <c r="J232" s="207" t="s">
        <v>96</v>
      </c>
      <c r="K232" s="206" t="s">
        <v>946</v>
      </c>
      <c r="M232" s="19" t="s">
        <v>1092</v>
      </c>
      <c r="N232" t="s">
        <v>241</v>
      </c>
      <c r="O232" s="19" t="str">
        <f t="shared" si="26"/>
        <v>PS_Practice_IndiaSr. Solution Architect</v>
      </c>
      <c r="P232" s="20">
        <v>105</v>
      </c>
      <c r="Q232" s="20">
        <v>37</v>
      </c>
      <c r="R232" s="19" t="s">
        <v>946</v>
      </c>
      <c r="W232" s="19" t="str">
        <v>TS_Practice_IndiaSr. Support Engineer</v>
      </c>
      <c r="BO232"/>
      <c r="BP232"/>
    </row>
    <row r="233" spans="1:68" x14ac:dyDescent="0.25">
      <c r="A233" s="19"/>
      <c r="B233" s="19"/>
      <c r="C233" s="19"/>
      <c r="D233" s="19"/>
      <c r="E233" s="19"/>
      <c r="F233" s="19"/>
      <c r="G233" s="206" t="s">
        <v>426</v>
      </c>
      <c r="H233" s="206" t="s">
        <v>443</v>
      </c>
      <c r="I233" s="46" t="str">
        <f t="shared" si="27"/>
        <v>TS_Practice_IndiaSupport Engineer</v>
      </c>
      <c r="J233" s="207" t="s">
        <v>96</v>
      </c>
      <c r="K233" s="206" t="s">
        <v>946</v>
      </c>
      <c r="M233" s="19"/>
      <c r="N233" s="19"/>
      <c r="O233" s="19"/>
      <c r="P233" s="21"/>
      <c r="Q233" s="21"/>
      <c r="R233" s="19"/>
      <c r="W233" s="19" t="str">
        <v>TS_Practice_IndiaSupport Engineer</v>
      </c>
      <c r="BO233"/>
      <c r="BP233"/>
    </row>
    <row r="234" spans="1:68" x14ac:dyDescent="0.25">
      <c r="A234" s="19"/>
      <c r="B234" s="19"/>
      <c r="C234" s="19"/>
      <c r="D234" s="19"/>
      <c r="E234" s="19"/>
      <c r="F234" s="19"/>
      <c r="G234" s="206" t="s">
        <v>426</v>
      </c>
      <c r="H234" s="206" t="s">
        <v>534</v>
      </c>
      <c r="I234" s="46" t="str">
        <f t="shared" si="27"/>
        <v>TS_Practice_IndiaSecurity Engineer</v>
      </c>
      <c r="J234" s="207" t="s">
        <v>96</v>
      </c>
      <c r="K234" s="206" t="s">
        <v>946</v>
      </c>
      <c r="M234" s="19" t="s">
        <v>526</v>
      </c>
      <c r="N234" s="19" t="s">
        <v>484</v>
      </c>
      <c r="O234" s="19" t="str">
        <f t="shared" ref="O234:O251" si="28">_xlfn.CONCAT(M234,N234)</f>
        <v>TS_Practice_USAQA Tester - Manual</v>
      </c>
      <c r="P234" s="21">
        <v>115</v>
      </c>
      <c r="Q234" s="21">
        <v>90</v>
      </c>
      <c r="R234" s="19" t="s">
        <v>776</v>
      </c>
      <c r="W234" s="19" t="str">
        <v>TS_Practice_IndiaSecurity Engineer</v>
      </c>
      <c r="BO234"/>
      <c r="BP234"/>
    </row>
    <row r="235" spans="1:68" x14ac:dyDescent="0.25">
      <c r="A235" s="19"/>
      <c r="B235" s="19"/>
      <c r="C235" s="19"/>
      <c r="D235" s="19"/>
      <c r="E235" s="19"/>
      <c r="F235" s="19"/>
      <c r="G235" s="206" t="s">
        <v>426</v>
      </c>
      <c r="H235" s="206" t="s">
        <v>429</v>
      </c>
      <c r="I235" s="46" t="str">
        <f t="shared" si="27"/>
        <v>TS_Practice_IndiaDevOps Engineer</v>
      </c>
      <c r="J235" s="207" t="s">
        <v>96</v>
      </c>
      <c r="K235" s="206" t="s">
        <v>946</v>
      </c>
      <c r="M235" s="19" t="s">
        <v>526</v>
      </c>
      <c r="N235" s="19" t="s">
        <v>446</v>
      </c>
      <c r="O235" s="19" t="str">
        <f t="shared" si="28"/>
        <v>TS_Practice_USASr. QA Tester - Manual</v>
      </c>
      <c r="P235" s="21">
        <v>120</v>
      </c>
      <c r="Q235" s="21">
        <v>95</v>
      </c>
      <c r="R235" s="19" t="s">
        <v>776</v>
      </c>
      <c r="W235" s="19" t="str">
        <v>TS_Practice_IndiaDevOps Engineer</v>
      </c>
      <c r="BO235"/>
      <c r="BP235"/>
    </row>
    <row r="236" spans="1:68" x14ac:dyDescent="0.25">
      <c r="A236" s="19"/>
      <c r="B236" s="19"/>
      <c r="C236" s="19"/>
      <c r="D236" s="19"/>
      <c r="E236" s="19"/>
      <c r="F236" s="19"/>
      <c r="G236" s="206" t="s">
        <v>426</v>
      </c>
      <c r="H236" s="206" t="s">
        <v>468</v>
      </c>
      <c r="I236" s="46" t="str">
        <f t="shared" si="27"/>
        <v>TS_Practice_IndiaSr. QA Tester - Automation</v>
      </c>
      <c r="J236" s="207" t="s">
        <v>96</v>
      </c>
      <c r="K236" s="206" t="s">
        <v>946</v>
      </c>
      <c r="M236" s="19" t="s">
        <v>526</v>
      </c>
      <c r="N236" s="19" t="s">
        <v>427</v>
      </c>
      <c r="O236" s="19" t="str">
        <f t="shared" si="28"/>
        <v>TS_Practice_USABusiness/Data Analyst</v>
      </c>
      <c r="P236" s="21">
        <v>125</v>
      </c>
      <c r="Q236" s="21">
        <v>100</v>
      </c>
      <c r="R236" s="19" t="s">
        <v>776</v>
      </c>
      <c r="W236" s="19" t="str">
        <v>TS_Practice_IndiaSr. QA Tester - Automation</v>
      </c>
      <c r="BO236"/>
      <c r="BP236"/>
    </row>
    <row r="237" spans="1:68" x14ac:dyDescent="0.25">
      <c r="A237" s="19"/>
      <c r="B237" s="19"/>
      <c r="C237" s="19"/>
      <c r="D237" s="19"/>
      <c r="E237" s="19"/>
      <c r="F237" s="19"/>
      <c r="G237" s="206" t="s">
        <v>426</v>
      </c>
      <c r="H237" s="206" t="s">
        <v>1098</v>
      </c>
      <c r="I237" s="46" t="str">
        <f t="shared" si="27"/>
        <v>TS_Practice_IndiaData Engineer</v>
      </c>
      <c r="J237" s="207" t="s">
        <v>96</v>
      </c>
      <c r="K237" s="206" t="s">
        <v>946</v>
      </c>
      <c r="M237" s="19" t="s">
        <v>526</v>
      </c>
      <c r="N237" s="19" t="s">
        <v>468</v>
      </c>
      <c r="O237" s="19" t="str">
        <f t="shared" si="28"/>
        <v>TS_Practice_USASr. QA Tester - Automation</v>
      </c>
      <c r="P237" s="21">
        <v>135</v>
      </c>
      <c r="Q237" s="21">
        <v>105</v>
      </c>
      <c r="R237" s="19" t="s">
        <v>776</v>
      </c>
      <c r="W237" s="19" t="str">
        <v>TS_Practice_IndiaData Engineer</v>
      </c>
      <c r="BO237"/>
      <c r="BP237"/>
    </row>
    <row r="238" spans="1:68" x14ac:dyDescent="0.25">
      <c r="A238" s="19"/>
      <c r="B238" s="19"/>
      <c r="C238" s="19"/>
      <c r="D238" s="19"/>
      <c r="E238" s="19"/>
      <c r="F238" s="19"/>
      <c r="G238" s="206" t="s">
        <v>426</v>
      </c>
      <c r="H238" s="206" t="s">
        <v>506</v>
      </c>
      <c r="I238" s="46" t="str">
        <f t="shared" si="27"/>
        <v>TS_Practice_IndiaSr. DBA</v>
      </c>
      <c r="J238" s="207" t="s">
        <v>96</v>
      </c>
      <c r="K238" s="206" t="s">
        <v>946</v>
      </c>
      <c r="M238" s="19" t="s">
        <v>526</v>
      </c>
      <c r="N238" s="19" t="s">
        <v>534</v>
      </c>
      <c r="O238" s="19" t="str">
        <f t="shared" si="28"/>
        <v>TS_Practice_USASecurity Engineer</v>
      </c>
      <c r="P238" s="21">
        <v>140</v>
      </c>
      <c r="Q238" s="21">
        <v>110</v>
      </c>
      <c r="R238" s="19" t="s">
        <v>776</v>
      </c>
      <c r="W238" s="19" t="str">
        <v>TS_Practice_IndiaSr. DBA</v>
      </c>
      <c r="BO238"/>
      <c r="BP238"/>
    </row>
    <row r="239" spans="1:68" x14ac:dyDescent="0.25">
      <c r="A239" s="19"/>
      <c r="B239" s="19"/>
      <c r="C239" s="19"/>
      <c r="D239" s="19"/>
      <c r="E239" s="19"/>
      <c r="F239" s="19"/>
      <c r="G239" s="206" t="s">
        <v>426</v>
      </c>
      <c r="H239" s="206" t="s">
        <v>427</v>
      </c>
      <c r="I239" s="46" t="str">
        <f t="shared" si="27"/>
        <v>TS_Practice_IndiaBusiness/Data Analyst</v>
      </c>
      <c r="J239" s="207" t="s">
        <v>96</v>
      </c>
      <c r="K239" s="206" t="s">
        <v>946</v>
      </c>
      <c r="M239" s="19" t="s">
        <v>526</v>
      </c>
      <c r="N239" s="19" t="s">
        <v>432</v>
      </c>
      <c r="O239" s="19" t="str">
        <f t="shared" si="28"/>
        <v>TS_Practice_USADeveloper</v>
      </c>
      <c r="P239" s="21">
        <v>150</v>
      </c>
      <c r="Q239" s="21">
        <v>110</v>
      </c>
      <c r="R239" s="19" t="s">
        <v>776</v>
      </c>
      <c r="W239" s="19" t="str">
        <v>TS_Practice_IndiaBusiness/Data Analyst</v>
      </c>
      <c r="BO239"/>
      <c r="BP239"/>
    </row>
    <row r="240" spans="1:68" x14ac:dyDescent="0.25">
      <c r="A240" s="19"/>
      <c r="B240" s="19"/>
      <c r="C240" s="19"/>
      <c r="D240" s="19"/>
      <c r="E240" s="19"/>
      <c r="F240" s="19"/>
      <c r="G240" s="206" t="s">
        <v>426</v>
      </c>
      <c r="H240" s="206" t="s">
        <v>448</v>
      </c>
      <c r="I240" s="46" t="str">
        <f t="shared" si="27"/>
        <v>TS_Practice_IndiaSr. Developer</v>
      </c>
      <c r="J240" s="207" t="s">
        <v>96</v>
      </c>
      <c r="K240" s="206" t="s">
        <v>946</v>
      </c>
      <c r="M240" s="19" t="s">
        <v>526</v>
      </c>
      <c r="N240" s="19" t="s">
        <v>1093</v>
      </c>
      <c r="O240" s="19" t="str">
        <f t="shared" si="28"/>
        <v>TS_Practice_USASr. DevOps Engineer</v>
      </c>
      <c r="P240" s="21">
        <v>165</v>
      </c>
      <c r="Q240" s="21">
        <v>120</v>
      </c>
      <c r="R240" s="19" t="s">
        <v>776</v>
      </c>
      <c r="W240" s="19" t="str">
        <v>TS_Practice_IndiaSr. Developer</v>
      </c>
      <c r="BO240"/>
      <c r="BP240"/>
    </row>
    <row r="241" spans="1:68" x14ac:dyDescent="0.25">
      <c r="A241" s="19"/>
      <c r="B241" s="19"/>
      <c r="C241" s="19"/>
      <c r="D241" s="19"/>
      <c r="E241" s="19"/>
      <c r="F241" s="19"/>
      <c r="G241" s="206" t="s">
        <v>426</v>
      </c>
      <c r="H241" s="206" t="s">
        <v>470</v>
      </c>
      <c r="I241" s="46" t="str">
        <f t="shared" si="27"/>
        <v>TS_Practice_IndiaTechnical Lead</v>
      </c>
      <c r="J241" s="207" t="s">
        <v>96</v>
      </c>
      <c r="K241" s="206" t="s">
        <v>946</v>
      </c>
      <c r="M241" s="19" t="s">
        <v>526</v>
      </c>
      <c r="N241" s="19" t="s">
        <v>448</v>
      </c>
      <c r="O241" s="19" t="str">
        <f t="shared" si="28"/>
        <v>TS_Practice_USASr. Developer</v>
      </c>
      <c r="P241" s="21">
        <v>165</v>
      </c>
      <c r="Q241" s="21">
        <v>120</v>
      </c>
      <c r="R241" s="19" t="s">
        <v>776</v>
      </c>
      <c r="W241" s="19" t="str">
        <v>TS_Practice_IndiaTechnical Lead</v>
      </c>
      <c r="BO241"/>
      <c r="BP241"/>
    </row>
    <row r="242" spans="1:68" x14ac:dyDescent="0.25">
      <c r="A242" s="19"/>
      <c r="B242" s="19"/>
      <c r="C242" s="19"/>
      <c r="D242" s="19"/>
      <c r="E242" s="19"/>
      <c r="F242" s="19"/>
      <c r="G242" s="206" t="s">
        <v>426</v>
      </c>
      <c r="H242" s="206" t="s">
        <v>452</v>
      </c>
      <c r="I242" s="46" t="str">
        <f t="shared" si="27"/>
        <v>TS_Practice_IndiaSr. Data Engineer</v>
      </c>
      <c r="J242" s="207" t="s">
        <v>96</v>
      </c>
      <c r="K242" s="206" t="s">
        <v>946</v>
      </c>
      <c r="M242" s="19" t="s">
        <v>526</v>
      </c>
      <c r="N242" s="19" t="s">
        <v>1094</v>
      </c>
      <c r="O242" s="19" t="str">
        <f t="shared" si="28"/>
        <v>TS_Practice_USASupport Lead</v>
      </c>
      <c r="P242" s="21">
        <v>180</v>
      </c>
      <c r="Q242" s="21">
        <v>125</v>
      </c>
      <c r="R242" s="19" t="s">
        <v>776</v>
      </c>
      <c r="W242" s="19" t="str">
        <v>TS_Practice_IndiaSr. Data Engineer</v>
      </c>
      <c r="BO242"/>
      <c r="BP242"/>
    </row>
    <row r="243" spans="1:68" x14ac:dyDescent="0.25">
      <c r="A243" s="19"/>
      <c r="B243" s="19"/>
      <c r="C243" s="19"/>
      <c r="D243" s="19"/>
      <c r="E243" s="19"/>
      <c r="F243" s="19"/>
      <c r="G243" s="206" t="s">
        <v>426</v>
      </c>
      <c r="H243" s="206" t="s">
        <v>504</v>
      </c>
      <c r="I243" s="46" t="str">
        <f t="shared" si="27"/>
        <v>TS_Practice_IndiaSr. Technical Lead</v>
      </c>
      <c r="J243" s="207" t="s">
        <v>96</v>
      </c>
      <c r="K243" s="206" t="s">
        <v>946</v>
      </c>
      <c r="M243" s="19" t="s">
        <v>526</v>
      </c>
      <c r="N243" s="19" t="s">
        <v>506</v>
      </c>
      <c r="O243" s="19" t="str">
        <f t="shared" si="28"/>
        <v>TS_Practice_USASr. DBA</v>
      </c>
      <c r="P243" s="21">
        <v>180</v>
      </c>
      <c r="Q243" s="21">
        <v>125</v>
      </c>
      <c r="R243" s="19" t="s">
        <v>776</v>
      </c>
      <c r="W243" s="19" t="str">
        <v>TS_Practice_IndiaSr. Technical Lead</v>
      </c>
      <c r="BO243"/>
      <c r="BP243"/>
    </row>
    <row r="244" spans="1:68" x14ac:dyDescent="0.25">
      <c r="A244" s="19"/>
      <c r="B244" s="19"/>
      <c r="C244" s="19"/>
      <c r="D244" s="19"/>
      <c r="E244" s="19"/>
      <c r="F244" s="19"/>
      <c r="G244" s="206" t="s">
        <v>426</v>
      </c>
      <c r="H244" s="206" t="s">
        <v>200</v>
      </c>
      <c r="I244" s="46" t="str">
        <f t="shared" si="27"/>
        <v>TS_Practice_IndiaProject Manager</v>
      </c>
      <c r="J244" s="207" t="s">
        <v>96</v>
      </c>
      <c r="K244" s="206" t="s">
        <v>946</v>
      </c>
      <c r="M244" s="19" t="s">
        <v>526</v>
      </c>
      <c r="N244" s="19" t="s">
        <v>1095</v>
      </c>
      <c r="O244" s="19" t="str">
        <f t="shared" si="28"/>
        <v>TS_Practice_USASr. Salesforce Developer</v>
      </c>
      <c r="P244" s="21">
        <v>190</v>
      </c>
      <c r="Q244" s="21">
        <v>130</v>
      </c>
      <c r="R244" s="19" t="s">
        <v>776</v>
      </c>
      <c r="W244" s="19" t="str">
        <v>TS_Practice_IndiaProject Manager</v>
      </c>
      <c r="BO244"/>
      <c r="BP244"/>
    </row>
    <row r="245" spans="1:68" x14ac:dyDescent="0.25">
      <c r="A245" s="19"/>
      <c r="B245" s="19"/>
      <c r="C245" s="19"/>
      <c r="D245" s="19"/>
      <c r="E245" s="19"/>
      <c r="F245" s="19"/>
      <c r="G245" s="206" t="s">
        <v>426</v>
      </c>
      <c r="H245" s="206" t="s">
        <v>458</v>
      </c>
      <c r="I245" s="46" t="str">
        <f t="shared" si="27"/>
        <v>TS_Practice_IndiaService Delivery Manager</v>
      </c>
      <c r="J245" s="207" t="s">
        <v>96</v>
      </c>
      <c r="K245" s="206" t="s">
        <v>946</v>
      </c>
      <c r="M245" s="19" t="s">
        <v>526</v>
      </c>
      <c r="N245" s="19" t="s">
        <v>1096</v>
      </c>
      <c r="O245" s="19" t="str">
        <f t="shared" si="28"/>
        <v>TS_Practice_USAScrum Master</v>
      </c>
      <c r="P245" s="21">
        <v>195</v>
      </c>
      <c r="Q245" s="21">
        <v>120</v>
      </c>
      <c r="R245" s="19" t="s">
        <v>776</v>
      </c>
      <c r="W245" s="19" t="str">
        <v>TS_Practice_IndiaService Delivery Manager</v>
      </c>
      <c r="BO245"/>
      <c r="BP245"/>
    </row>
    <row r="246" spans="1:68" x14ac:dyDescent="0.25">
      <c r="A246" s="19"/>
      <c r="B246" s="19"/>
      <c r="C246" s="19"/>
      <c r="D246" s="19"/>
      <c r="E246" s="19"/>
      <c r="F246" s="19"/>
      <c r="G246" s="206" t="s">
        <v>426</v>
      </c>
      <c r="H246" s="206" t="s">
        <v>313</v>
      </c>
      <c r="I246" s="46" t="str">
        <f t="shared" si="27"/>
        <v>TS_Practice_IndiaSolution Architect</v>
      </c>
      <c r="J246" s="207" t="s">
        <v>96</v>
      </c>
      <c r="K246" s="206" t="s">
        <v>946</v>
      </c>
      <c r="M246" s="19" t="s">
        <v>526</v>
      </c>
      <c r="N246" s="19" t="s">
        <v>452</v>
      </c>
      <c r="O246" s="19" t="str">
        <f t="shared" si="28"/>
        <v>TS_Practice_USASr. Data Engineer</v>
      </c>
      <c r="P246" s="21">
        <v>200</v>
      </c>
      <c r="Q246" s="21">
        <v>140</v>
      </c>
      <c r="R246" s="19" t="s">
        <v>776</v>
      </c>
      <c r="W246" s="19" t="str">
        <v>TS_Practice_IndiaSolution Architect</v>
      </c>
      <c r="BO246"/>
      <c r="BP246"/>
    </row>
    <row r="247" spans="1:68" x14ac:dyDescent="0.25">
      <c r="A247" s="19"/>
      <c r="B247" s="19"/>
      <c r="C247" s="19"/>
      <c r="D247" s="19"/>
      <c r="E247" s="19"/>
      <c r="F247" s="19"/>
      <c r="G247" s="206" t="s">
        <v>853</v>
      </c>
      <c r="H247" s="206" t="s">
        <v>176</v>
      </c>
      <c r="I247" s="46" t="str">
        <f t="shared" si="25"/>
        <v>ICSub_Contractor_USAContractor 1</v>
      </c>
      <c r="J247" s="207" t="s">
        <v>96</v>
      </c>
      <c r="K247" s="206" t="s">
        <v>776</v>
      </c>
      <c r="M247" s="19" t="s">
        <v>526</v>
      </c>
      <c r="N247" s="19" t="s">
        <v>470</v>
      </c>
      <c r="O247" s="19" t="str">
        <f t="shared" si="28"/>
        <v>TS_Practice_USATechnical Lead</v>
      </c>
      <c r="P247" s="21">
        <v>210</v>
      </c>
      <c r="Q247" s="21">
        <v>150</v>
      </c>
      <c r="R247" s="19" t="s">
        <v>776</v>
      </c>
      <c r="W247" s="19" t="str">
        <v>ICSub_Contractor_USAContractor 1</v>
      </c>
      <c r="BO247"/>
      <c r="BP247"/>
    </row>
    <row r="248" spans="1:68" x14ac:dyDescent="0.25">
      <c r="A248" s="19"/>
      <c r="B248" s="19"/>
      <c r="C248" s="19"/>
      <c r="D248" s="19"/>
      <c r="E248" s="19"/>
      <c r="F248" s="19"/>
      <c r="G248" s="206" t="s">
        <v>853</v>
      </c>
      <c r="H248" s="206" t="s">
        <v>177</v>
      </c>
      <c r="I248" s="46" t="str">
        <f t="shared" si="25"/>
        <v>ICSub_Contractor_USAContractor 2</v>
      </c>
      <c r="J248" s="207" t="s">
        <v>96</v>
      </c>
      <c r="K248" s="206" t="s">
        <v>776</v>
      </c>
      <c r="M248" s="19" t="s">
        <v>526</v>
      </c>
      <c r="N248" s="19" t="s">
        <v>206</v>
      </c>
      <c r="O248" s="19" t="str">
        <f t="shared" si="28"/>
        <v>TS_Practice_USAArchitect</v>
      </c>
      <c r="P248" s="21">
        <v>230</v>
      </c>
      <c r="Q248" s="21">
        <v>160</v>
      </c>
      <c r="R248" s="19" t="s">
        <v>776</v>
      </c>
      <c r="W248" s="19" t="str">
        <v>ICSub_Contractor_USAContractor 2</v>
      </c>
      <c r="BO248"/>
      <c r="BP248"/>
    </row>
    <row r="249" spans="1:68" x14ac:dyDescent="0.25">
      <c r="A249" s="19"/>
      <c r="B249" s="19"/>
      <c r="C249" s="19"/>
      <c r="D249" s="19"/>
      <c r="E249" s="19"/>
      <c r="F249" s="19"/>
      <c r="G249" s="206" t="s">
        <v>853</v>
      </c>
      <c r="H249" s="206" t="s">
        <v>178</v>
      </c>
      <c r="I249" s="46" t="str">
        <f t="shared" si="25"/>
        <v>ICSub_Contractor_USAContractor 3</v>
      </c>
      <c r="J249" s="207" t="s">
        <v>96</v>
      </c>
      <c r="K249" s="206" t="s">
        <v>776</v>
      </c>
      <c r="M249" s="19" t="s">
        <v>526</v>
      </c>
      <c r="N249" s="19" t="s">
        <v>200</v>
      </c>
      <c r="O249" s="19" t="str">
        <f t="shared" si="28"/>
        <v>TS_Practice_USAProject Manager</v>
      </c>
      <c r="P249" s="21">
        <v>230</v>
      </c>
      <c r="Q249" s="21">
        <v>130</v>
      </c>
      <c r="R249" s="19" t="s">
        <v>776</v>
      </c>
      <c r="W249" s="19" t="str">
        <v>ICSub_Contractor_USAContractor 3</v>
      </c>
      <c r="BO249"/>
      <c r="BP249"/>
    </row>
    <row r="250" spans="1:68" x14ac:dyDescent="0.25">
      <c r="A250" s="19"/>
      <c r="B250" s="19"/>
      <c r="C250" s="19"/>
      <c r="D250" s="19"/>
      <c r="E250" s="19"/>
      <c r="F250" s="19"/>
      <c r="G250" s="206" t="s">
        <v>853</v>
      </c>
      <c r="H250" s="206" t="s">
        <v>179</v>
      </c>
      <c r="I250" s="46" t="str">
        <f t="shared" si="25"/>
        <v>ICSub_Contractor_USAContractor 4</v>
      </c>
      <c r="J250" s="207" t="s">
        <v>96</v>
      </c>
      <c r="K250" s="206" t="s">
        <v>776</v>
      </c>
      <c r="M250" s="19" t="s">
        <v>526</v>
      </c>
      <c r="N250" s="19" t="s">
        <v>530</v>
      </c>
      <c r="O250" s="19" t="str">
        <f t="shared" si="28"/>
        <v>TS_Practice_USASr. Architect</v>
      </c>
      <c r="P250" s="21">
        <v>250</v>
      </c>
      <c r="Q250" s="21">
        <v>195</v>
      </c>
      <c r="R250" s="19" t="s">
        <v>776</v>
      </c>
      <c r="W250" s="19" t="str">
        <v>ICSub_Contractor_USAContractor 4</v>
      </c>
      <c r="BO250"/>
      <c r="BP250"/>
    </row>
    <row r="251" spans="1:68" x14ac:dyDescent="0.25">
      <c r="A251" s="19"/>
      <c r="B251" s="19"/>
      <c r="C251" s="19"/>
      <c r="D251" s="19"/>
      <c r="E251" s="19"/>
      <c r="F251" s="19"/>
      <c r="G251" s="206" t="s">
        <v>853</v>
      </c>
      <c r="H251" s="206" t="s">
        <v>180</v>
      </c>
      <c r="I251" s="46" t="str">
        <f t="shared" si="25"/>
        <v>ICSub_Contractor_USAContractor 5</v>
      </c>
      <c r="J251" s="207" t="s">
        <v>96</v>
      </c>
      <c r="K251" s="206" t="s">
        <v>776</v>
      </c>
      <c r="M251" s="19" t="s">
        <v>526</v>
      </c>
      <c r="N251" s="19" t="s">
        <v>195</v>
      </c>
      <c r="O251" s="19" t="str">
        <f t="shared" si="28"/>
        <v>TS_Practice_USAProgram Manager</v>
      </c>
      <c r="P251" s="21">
        <v>250</v>
      </c>
      <c r="Q251" s="21">
        <v>150</v>
      </c>
      <c r="R251" s="19" t="s">
        <v>776</v>
      </c>
      <c r="W251" s="19" t="str">
        <v>ICSub_Contractor_USAContractor 5</v>
      </c>
      <c r="BO251"/>
      <c r="BP251"/>
    </row>
    <row r="252" spans="1:68" x14ac:dyDescent="0.25">
      <c r="A252" s="19"/>
      <c r="B252" s="19"/>
      <c r="C252" s="19"/>
      <c r="D252" s="19"/>
      <c r="E252" s="19"/>
      <c r="F252" s="19"/>
      <c r="G252" s="206" t="s">
        <v>857</v>
      </c>
      <c r="H252" s="206" t="s">
        <v>176</v>
      </c>
      <c r="I252" s="46" t="str">
        <f t="shared" si="25"/>
        <v>ICSub_Contractor_IndiaContractor 1</v>
      </c>
      <c r="J252" s="207" t="s">
        <v>96</v>
      </c>
      <c r="K252" s="206" t="s">
        <v>946</v>
      </c>
      <c r="M252" s="19"/>
      <c r="N252" s="19"/>
      <c r="O252" s="19"/>
      <c r="P252" s="21"/>
      <c r="Q252" s="21"/>
      <c r="R252" s="19"/>
      <c r="W252" s="19" t="str">
        <v>ICSub_Contractor_IndiaContractor 1</v>
      </c>
      <c r="BO252"/>
      <c r="BP252"/>
    </row>
    <row r="253" spans="1:68" x14ac:dyDescent="0.25">
      <c r="A253" s="19"/>
      <c r="B253" s="19"/>
      <c r="C253" s="19"/>
      <c r="D253" s="19"/>
      <c r="E253" s="19"/>
      <c r="F253" s="19"/>
      <c r="G253" s="206" t="s">
        <v>857</v>
      </c>
      <c r="H253" s="206" t="s">
        <v>177</v>
      </c>
      <c r="I253" s="46" t="str">
        <f t="shared" si="25"/>
        <v>ICSub_Contractor_IndiaContractor 2</v>
      </c>
      <c r="J253" s="207" t="s">
        <v>96</v>
      </c>
      <c r="K253" s="206" t="s">
        <v>946</v>
      </c>
      <c r="M253" s="19" t="s">
        <v>426</v>
      </c>
      <c r="N253" s="19" t="s">
        <v>226</v>
      </c>
      <c r="O253" s="19" t="str">
        <f t="shared" ref="O253:O273" si="29">_xlfn.CONCAT(M253,N253)</f>
        <v>TS_Practice_IndiaSoftware Engineer</v>
      </c>
      <c r="P253" s="21">
        <v>30</v>
      </c>
      <c r="Q253" s="21">
        <v>12</v>
      </c>
      <c r="R253" s="19" t="s">
        <v>946</v>
      </c>
      <c r="W253" s="19" t="str">
        <v>ICSub_Contractor_IndiaContractor 2</v>
      </c>
      <c r="BO253"/>
      <c r="BP253"/>
    </row>
    <row r="254" spans="1:68" x14ac:dyDescent="0.25">
      <c r="A254" s="19"/>
      <c r="B254" s="19"/>
      <c r="C254" s="19"/>
      <c r="D254" s="19"/>
      <c r="E254" s="19"/>
      <c r="F254" s="19"/>
      <c r="G254" s="206" t="s">
        <v>857</v>
      </c>
      <c r="H254" s="206" t="s">
        <v>178</v>
      </c>
      <c r="I254" s="46" t="str">
        <f t="shared" si="25"/>
        <v>ICSub_Contractor_IndiaContractor 3</v>
      </c>
      <c r="J254" s="207" t="s">
        <v>96</v>
      </c>
      <c r="K254" s="206" t="s">
        <v>946</v>
      </c>
      <c r="M254" s="19" t="s">
        <v>426</v>
      </c>
      <c r="N254" s="19" t="s">
        <v>230</v>
      </c>
      <c r="O254" s="19" t="str">
        <f t="shared" si="29"/>
        <v>TS_Practice_IndiaSr. Software Engineer</v>
      </c>
      <c r="P254" s="21">
        <v>45</v>
      </c>
      <c r="Q254" s="21">
        <v>13</v>
      </c>
      <c r="R254" s="19" t="s">
        <v>946</v>
      </c>
      <c r="W254" s="19" t="str">
        <v>ICSub_Contractor_IndiaContractor 3</v>
      </c>
      <c r="BO254"/>
      <c r="BP254"/>
    </row>
    <row r="255" spans="1:68" x14ac:dyDescent="0.25">
      <c r="A255" s="19"/>
      <c r="B255" s="19"/>
      <c r="C255" s="19"/>
      <c r="D255" s="19"/>
      <c r="E255" s="19"/>
      <c r="F255" s="19"/>
      <c r="G255" s="206" t="s">
        <v>857</v>
      </c>
      <c r="H255" s="206" t="s">
        <v>179</v>
      </c>
      <c r="I255" s="46" t="str">
        <f t="shared" si="25"/>
        <v>ICSub_Contractor_IndiaContractor 4</v>
      </c>
      <c r="J255" s="207" t="s">
        <v>96</v>
      </c>
      <c r="K255" s="206" t="s">
        <v>946</v>
      </c>
      <c r="M255" s="19" t="s">
        <v>426</v>
      </c>
      <c r="N255" s="19" t="s">
        <v>432</v>
      </c>
      <c r="O255" s="19" t="str">
        <f t="shared" si="29"/>
        <v>TS_Practice_IndiaDeveloper</v>
      </c>
      <c r="P255" s="21">
        <v>35</v>
      </c>
      <c r="Q255" s="21">
        <v>15</v>
      </c>
      <c r="R255" s="19" t="s">
        <v>946</v>
      </c>
      <c r="W255" s="19" t="str">
        <v>ICSub_Contractor_IndiaContractor 4</v>
      </c>
      <c r="BO255"/>
      <c r="BP255"/>
    </row>
    <row r="256" spans="1:68" x14ac:dyDescent="0.25">
      <c r="A256" s="19"/>
      <c r="B256" s="19"/>
      <c r="C256" s="19"/>
      <c r="D256" s="19"/>
      <c r="E256" s="19"/>
      <c r="F256" s="19"/>
      <c r="G256" s="206" t="s">
        <v>857</v>
      </c>
      <c r="H256" s="206" t="s">
        <v>180</v>
      </c>
      <c r="I256" s="46" t="str">
        <f t="shared" si="25"/>
        <v>ICSub_Contractor_IndiaContractor 5</v>
      </c>
      <c r="J256" s="207" t="s">
        <v>96</v>
      </c>
      <c r="K256" s="206" t="s">
        <v>946</v>
      </c>
      <c r="M256" s="19" t="s">
        <v>426</v>
      </c>
      <c r="N256" s="19" t="s">
        <v>438</v>
      </c>
      <c r="O256" s="19" t="str">
        <f t="shared" si="29"/>
        <v>TS_Practice_IndiaQA Tester - Automation</v>
      </c>
      <c r="P256" s="21">
        <v>35</v>
      </c>
      <c r="Q256" s="21">
        <v>17</v>
      </c>
      <c r="R256" s="19" t="s">
        <v>946</v>
      </c>
      <c r="W256" s="19" t="str">
        <v>ICSub_Contractor_IndiaContractor 5</v>
      </c>
      <c r="BO256"/>
      <c r="BP256"/>
    </row>
    <row r="257" spans="1:68" x14ac:dyDescent="0.25">
      <c r="A257" s="19"/>
      <c r="B257" s="19"/>
      <c r="C257" s="19"/>
      <c r="D257" s="19"/>
      <c r="E257" s="19"/>
      <c r="F257" s="19"/>
      <c r="G257" s="206" t="s">
        <v>849</v>
      </c>
      <c r="H257" s="206" t="s">
        <v>187</v>
      </c>
      <c r="I257" s="46" t="str">
        <f t="shared" si="25"/>
        <v>Donyati_Products_USADART</v>
      </c>
      <c r="J257" s="207" t="s">
        <v>96</v>
      </c>
      <c r="K257" s="206" t="s">
        <v>776</v>
      </c>
      <c r="M257" s="19" t="s">
        <v>426</v>
      </c>
      <c r="N257" s="19" t="s">
        <v>446</v>
      </c>
      <c r="O257" s="19" t="str">
        <f t="shared" si="29"/>
        <v>TS_Practice_IndiaSr. QA Tester - Manual</v>
      </c>
      <c r="P257" s="21">
        <v>35</v>
      </c>
      <c r="Q257" s="21">
        <v>17</v>
      </c>
      <c r="R257" s="19" t="s">
        <v>946</v>
      </c>
      <c r="W257" s="19" t="str">
        <v>Donyati_Products_USADART</v>
      </c>
      <c r="BO257"/>
      <c r="BP257"/>
    </row>
    <row r="258" spans="1:68" x14ac:dyDescent="0.25">
      <c r="A258" s="19"/>
      <c r="B258" s="19"/>
      <c r="C258" s="19"/>
      <c r="D258" s="19"/>
      <c r="E258" s="19"/>
      <c r="F258" s="19"/>
      <c r="G258" s="206" t="s">
        <v>849</v>
      </c>
      <c r="H258" s="206" t="s">
        <v>188</v>
      </c>
      <c r="I258" s="46" t="str">
        <f t="shared" si="25"/>
        <v>Donyati_Products_USAEPM Cloud Assurance</v>
      </c>
      <c r="J258" s="207" t="s">
        <v>96</v>
      </c>
      <c r="K258" s="206" t="s">
        <v>776</v>
      </c>
      <c r="M258" s="19" t="s">
        <v>426</v>
      </c>
      <c r="N258" s="19" t="s">
        <v>484</v>
      </c>
      <c r="O258" s="19" t="str">
        <f t="shared" si="29"/>
        <v>TS_Practice_IndiaQA Tester - Manual</v>
      </c>
      <c r="P258" s="21">
        <v>35</v>
      </c>
      <c r="Q258" s="21">
        <v>15</v>
      </c>
      <c r="R258" s="19" t="s">
        <v>946</v>
      </c>
      <c r="W258" s="19" t="str">
        <v>Donyati_Products_USAEPM Cloud Assurance</v>
      </c>
      <c r="BO258"/>
      <c r="BP258"/>
    </row>
    <row r="259" spans="1:68" x14ac:dyDescent="0.25">
      <c r="A259" s="19"/>
      <c r="B259" s="19"/>
      <c r="C259" s="19"/>
      <c r="D259" s="19"/>
      <c r="E259" s="19"/>
      <c r="F259" s="19"/>
      <c r="G259" s="205" t="s">
        <v>194</v>
      </c>
      <c r="H259" s="205" t="s">
        <v>195</v>
      </c>
      <c r="I259" s="46" t="str">
        <f t="shared" si="25"/>
        <v>Cloud_Practice_USAProgram Manager</v>
      </c>
      <c r="J259" s="269" t="s">
        <v>196</v>
      </c>
      <c r="K259" s="205" t="s">
        <v>776</v>
      </c>
      <c r="M259" s="19" t="s">
        <v>426</v>
      </c>
      <c r="N259" s="19" t="s">
        <v>1097</v>
      </c>
      <c r="O259" s="19" t="str">
        <f t="shared" si="29"/>
        <v>TS_Practice_IndiaSr. Support Engineer</v>
      </c>
      <c r="P259" s="21">
        <v>35</v>
      </c>
      <c r="Q259" s="21">
        <v>17</v>
      </c>
      <c r="R259" s="19" t="s">
        <v>946</v>
      </c>
      <c r="W259" s="19" t="str">
        <v>EPM_Practice_Canada_-_ConsolidationApplication Developer</v>
      </c>
      <c r="BO259"/>
      <c r="BP259"/>
    </row>
    <row r="260" spans="1:68" x14ac:dyDescent="0.25">
      <c r="A260" s="19"/>
      <c r="B260" s="19"/>
      <c r="C260" s="19"/>
      <c r="D260" s="19"/>
      <c r="E260" s="19"/>
      <c r="F260" s="19"/>
      <c r="G260" s="38" t="s">
        <v>194</v>
      </c>
      <c r="H260" s="38" t="s">
        <v>195</v>
      </c>
      <c r="I260" s="46" t="str">
        <f t="shared" si="25"/>
        <v>Cloud_Practice_USAProgram Manager</v>
      </c>
      <c r="J260" s="40" t="s">
        <v>197</v>
      </c>
      <c r="K260" s="38" t="s">
        <v>776</v>
      </c>
      <c r="M260" s="19" t="s">
        <v>426</v>
      </c>
      <c r="N260" s="19" t="s">
        <v>443</v>
      </c>
      <c r="O260" s="19" t="str">
        <f t="shared" si="29"/>
        <v>TS_Practice_IndiaSupport Engineer</v>
      </c>
      <c r="P260" s="21">
        <v>35</v>
      </c>
      <c r="Q260" s="21">
        <v>15</v>
      </c>
      <c r="R260" s="19" t="s">
        <v>946</v>
      </c>
      <c r="W260" s="19" t="str">
        <v>EPM_Practice_India_-_IntegrationSr. Solution Architect</v>
      </c>
      <c r="BO260"/>
      <c r="BP260"/>
    </row>
    <row r="261" spans="1:68" x14ac:dyDescent="0.25">
      <c r="A261" s="19"/>
      <c r="B261" s="19"/>
      <c r="C261" s="19"/>
      <c r="D261" s="19"/>
      <c r="E261" s="19"/>
      <c r="F261" s="19"/>
      <c r="G261" s="38" t="s">
        <v>194</v>
      </c>
      <c r="H261" s="38" t="s">
        <v>198</v>
      </c>
      <c r="I261" s="46" t="str">
        <f t="shared" si="25"/>
        <v>Cloud_Practice_USASr. Program Lead</v>
      </c>
      <c r="J261" s="40" t="s">
        <v>199</v>
      </c>
      <c r="K261" s="38" t="s">
        <v>776</v>
      </c>
      <c r="M261" s="19" t="s">
        <v>426</v>
      </c>
      <c r="N261" s="19" t="s">
        <v>534</v>
      </c>
      <c r="O261" s="19" t="str">
        <f t="shared" si="29"/>
        <v>TS_Practice_IndiaSecurity Engineer</v>
      </c>
      <c r="P261" s="21">
        <v>35</v>
      </c>
      <c r="Q261" s="21">
        <v>15</v>
      </c>
      <c r="R261" s="19" t="s">
        <v>946</v>
      </c>
      <c r="W261" s="19" t="str">
        <v>EPM_Practice_USA_-_ConsolidationPrincipal Architect</v>
      </c>
      <c r="BO261"/>
      <c r="BP261"/>
    </row>
    <row r="262" spans="1:68" x14ac:dyDescent="0.25">
      <c r="A262" s="19"/>
      <c r="B262" s="19"/>
      <c r="C262" s="19"/>
      <c r="D262" s="19"/>
      <c r="E262" s="19"/>
      <c r="F262" s="19"/>
      <c r="G262" s="38" t="s">
        <v>194</v>
      </c>
      <c r="H262" s="38" t="s">
        <v>200</v>
      </c>
      <c r="I262" s="46" t="str">
        <f t="shared" si="25"/>
        <v>Cloud_Practice_USAProject Manager</v>
      </c>
      <c r="J262" s="40" t="s">
        <v>201</v>
      </c>
      <c r="K262" s="38" t="s">
        <v>776</v>
      </c>
      <c r="M262" s="19" t="s">
        <v>426</v>
      </c>
      <c r="N262" s="19" t="s">
        <v>429</v>
      </c>
      <c r="O262" s="19" t="str">
        <f t="shared" si="29"/>
        <v>TS_Practice_IndiaDevOps Engineer</v>
      </c>
      <c r="P262" s="21">
        <v>40</v>
      </c>
      <c r="Q262" s="21">
        <v>19</v>
      </c>
      <c r="R262" s="19" t="s">
        <v>946</v>
      </c>
      <c r="W262" s="19" t="str">
        <v>EPM_Practice_USA_-_ConsolidationApplication Lead</v>
      </c>
      <c r="BO262"/>
      <c r="BP262"/>
    </row>
    <row r="263" spans="1:68" x14ac:dyDescent="0.25">
      <c r="A263" s="19"/>
      <c r="B263" s="19"/>
      <c r="C263" s="19"/>
      <c r="D263" s="19"/>
      <c r="E263" s="19"/>
      <c r="F263" s="19"/>
      <c r="G263" s="38" t="s">
        <v>194</v>
      </c>
      <c r="H263" s="38" t="s">
        <v>202</v>
      </c>
      <c r="I263" s="46" t="str">
        <f t="shared" si="25"/>
        <v>Cloud_Practice_USAEngineer</v>
      </c>
      <c r="J263" s="40" t="s">
        <v>203</v>
      </c>
      <c r="K263" s="38" t="s">
        <v>776</v>
      </c>
      <c r="M263" s="19" t="s">
        <v>426</v>
      </c>
      <c r="N263" s="19" t="s">
        <v>468</v>
      </c>
      <c r="O263" s="19" t="str">
        <f t="shared" si="29"/>
        <v>TS_Practice_IndiaSr. QA Tester - Automation</v>
      </c>
      <c r="P263" s="21">
        <v>40</v>
      </c>
      <c r="Q263" s="21">
        <v>19</v>
      </c>
      <c r="R263" s="19" t="s">
        <v>946</v>
      </c>
      <c r="W263" s="19" t="str">
        <v>ERP_Practice_SpainTechno-Functional Finance Lead</v>
      </c>
      <c r="BO263"/>
      <c r="BP263"/>
    </row>
    <row r="264" spans="1:68" x14ac:dyDescent="0.25">
      <c r="A264" s="19"/>
      <c r="B264" s="19"/>
      <c r="C264" s="19"/>
      <c r="D264" s="19"/>
      <c r="E264" s="19"/>
      <c r="F264" s="19"/>
      <c r="G264" s="38" t="s">
        <v>194</v>
      </c>
      <c r="H264" s="38" t="s">
        <v>204</v>
      </c>
      <c r="I264" s="46" t="str">
        <f t="shared" si="25"/>
        <v>Cloud_Practice_USAProgram Lead</v>
      </c>
      <c r="J264" s="40" t="s">
        <v>205</v>
      </c>
      <c r="K264" s="38" t="s">
        <v>776</v>
      </c>
      <c r="M264" s="19" t="s">
        <v>426</v>
      </c>
      <c r="N264" s="19" t="s">
        <v>1098</v>
      </c>
      <c r="O264" s="19" t="str">
        <f t="shared" si="29"/>
        <v>TS_Practice_IndiaData Engineer</v>
      </c>
      <c r="P264" s="21">
        <v>45</v>
      </c>
      <c r="Q264" s="21">
        <v>22</v>
      </c>
      <c r="R264" s="19" t="s">
        <v>946</v>
      </c>
      <c r="BO264"/>
      <c r="BP264"/>
    </row>
    <row r="265" spans="1:68" x14ac:dyDescent="0.25">
      <c r="A265" s="19"/>
      <c r="B265" s="19"/>
      <c r="C265" s="19"/>
      <c r="D265" s="19"/>
      <c r="E265" s="19"/>
      <c r="F265" s="19"/>
      <c r="G265" s="38" t="s">
        <v>194</v>
      </c>
      <c r="H265" s="38" t="s">
        <v>206</v>
      </c>
      <c r="I265" s="46" t="str">
        <f t="shared" si="25"/>
        <v>Cloud_Practice_USAArchitect</v>
      </c>
      <c r="J265" s="40" t="s">
        <v>207</v>
      </c>
      <c r="K265" s="38" t="s">
        <v>776</v>
      </c>
      <c r="M265" s="19" t="s">
        <v>426</v>
      </c>
      <c r="N265" s="19" t="s">
        <v>506</v>
      </c>
      <c r="O265" s="19" t="str">
        <f t="shared" si="29"/>
        <v>TS_Practice_IndiaSr. DBA</v>
      </c>
      <c r="P265" s="21">
        <v>45</v>
      </c>
      <c r="Q265" s="21">
        <v>22</v>
      </c>
      <c r="R265" s="19" t="s">
        <v>946</v>
      </c>
      <c r="BO265"/>
      <c r="BP265"/>
    </row>
    <row r="266" spans="1:68" x14ac:dyDescent="0.25">
      <c r="A266" s="19"/>
      <c r="B266" s="19"/>
      <c r="C266" s="19"/>
      <c r="D266" s="19"/>
      <c r="E266" s="19"/>
      <c r="F266" s="19"/>
      <c r="G266" s="38" t="s">
        <v>194</v>
      </c>
      <c r="H266" s="38" t="s">
        <v>206</v>
      </c>
      <c r="I266" s="46" t="str">
        <f t="shared" si="25"/>
        <v>Cloud_Practice_USAArchitect</v>
      </c>
      <c r="J266" s="40" t="s">
        <v>208</v>
      </c>
      <c r="K266" s="38" t="s">
        <v>776</v>
      </c>
      <c r="M266" s="19" t="s">
        <v>426</v>
      </c>
      <c r="N266" s="19" t="s">
        <v>427</v>
      </c>
      <c r="O266" s="19" t="str">
        <f t="shared" si="29"/>
        <v>TS_Practice_IndiaBusiness/Data Analyst</v>
      </c>
      <c r="P266" s="21">
        <v>45</v>
      </c>
      <c r="Q266" s="21">
        <v>22</v>
      </c>
      <c r="R266" s="19" t="s">
        <v>946</v>
      </c>
      <c r="BO266"/>
      <c r="BP266"/>
    </row>
    <row r="267" spans="1:68" x14ac:dyDescent="0.25">
      <c r="A267" s="19"/>
      <c r="B267" s="19"/>
      <c r="C267" s="19"/>
      <c r="D267" s="19"/>
      <c r="E267" s="19"/>
      <c r="F267" s="19"/>
      <c r="G267" s="38" t="s">
        <v>194</v>
      </c>
      <c r="H267" s="38" t="s">
        <v>206</v>
      </c>
      <c r="I267" s="46" t="str">
        <f t="shared" si="25"/>
        <v>Cloud_Practice_USAArchitect</v>
      </c>
      <c r="J267" s="40" t="s">
        <v>209</v>
      </c>
      <c r="K267" s="38" t="s">
        <v>776</v>
      </c>
      <c r="M267" s="19" t="s">
        <v>426</v>
      </c>
      <c r="N267" s="19" t="s">
        <v>448</v>
      </c>
      <c r="O267" s="19" t="str">
        <f t="shared" si="29"/>
        <v>TS_Practice_IndiaSr. Developer</v>
      </c>
      <c r="P267" s="21">
        <v>45</v>
      </c>
      <c r="Q267" s="21">
        <v>22</v>
      </c>
      <c r="R267" s="19" t="s">
        <v>946</v>
      </c>
      <c r="BO267"/>
      <c r="BP267"/>
    </row>
    <row r="268" spans="1:68" x14ac:dyDescent="0.25">
      <c r="A268" s="19"/>
      <c r="B268" s="19"/>
      <c r="C268" s="19"/>
      <c r="D268" s="19"/>
      <c r="E268" s="19"/>
      <c r="F268" s="19"/>
      <c r="G268" s="38" t="s">
        <v>194</v>
      </c>
      <c r="H268" s="38" t="s">
        <v>206</v>
      </c>
      <c r="I268" s="46" t="str">
        <f t="shared" si="25"/>
        <v>Cloud_Practice_USAArchitect</v>
      </c>
      <c r="J268" s="40" t="s">
        <v>210</v>
      </c>
      <c r="K268" s="38" t="s">
        <v>776</v>
      </c>
      <c r="M268" s="19" t="s">
        <v>426</v>
      </c>
      <c r="N268" s="19" t="s">
        <v>470</v>
      </c>
      <c r="O268" s="19" t="str">
        <f t="shared" si="29"/>
        <v>TS_Practice_IndiaTechnical Lead</v>
      </c>
      <c r="P268" s="21">
        <v>50</v>
      </c>
      <c r="Q268" s="21">
        <v>27</v>
      </c>
      <c r="R268" s="19" t="s">
        <v>1099</v>
      </c>
      <c r="BO268"/>
      <c r="BP268"/>
    </row>
    <row r="269" spans="1:68" x14ac:dyDescent="0.25">
      <c r="A269" s="19"/>
      <c r="B269" s="19"/>
      <c r="C269" s="19"/>
      <c r="D269" s="19"/>
      <c r="E269" s="19"/>
      <c r="F269" s="19"/>
      <c r="G269" s="38" t="s">
        <v>194</v>
      </c>
      <c r="H269" s="38" t="s">
        <v>202</v>
      </c>
      <c r="I269" s="46" t="str">
        <f t="shared" si="25"/>
        <v>Cloud_Practice_USAEngineer</v>
      </c>
      <c r="J269" s="40" t="s">
        <v>211</v>
      </c>
      <c r="K269" s="38" t="s">
        <v>776</v>
      </c>
      <c r="M269" s="19" t="s">
        <v>426</v>
      </c>
      <c r="N269" s="19" t="s">
        <v>452</v>
      </c>
      <c r="O269" s="19" t="str">
        <f t="shared" si="29"/>
        <v>TS_Practice_IndiaSr. Data Engineer</v>
      </c>
      <c r="P269" s="21">
        <v>55</v>
      </c>
      <c r="Q269" s="21">
        <v>30</v>
      </c>
      <c r="R269" s="19" t="s">
        <v>946</v>
      </c>
      <c r="BO269"/>
      <c r="BP269"/>
    </row>
    <row r="270" spans="1:68" x14ac:dyDescent="0.25">
      <c r="A270" s="19"/>
      <c r="B270" s="19"/>
      <c r="C270" s="19"/>
      <c r="D270" s="19"/>
      <c r="E270" s="19"/>
      <c r="F270" s="19"/>
      <c r="G270" s="38" t="s">
        <v>194</v>
      </c>
      <c r="H270" s="38" t="s">
        <v>202</v>
      </c>
      <c r="I270" s="46" t="str">
        <f t="shared" si="25"/>
        <v>Cloud_Practice_USAEngineer</v>
      </c>
      <c r="J270" s="40" t="s">
        <v>212</v>
      </c>
      <c r="K270" s="38" t="s">
        <v>776</v>
      </c>
      <c r="M270" s="19" t="s">
        <v>426</v>
      </c>
      <c r="N270" s="19" t="s">
        <v>504</v>
      </c>
      <c r="O270" s="19" t="str">
        <f t="shared" si="29"/>
        <v>TS_Practice_IndiaSr. Technical Lead</v>
      </c>
      <c r="P270" s="21">
        <v>55</v>
      </c>
      <c r="Q270" s="21">
        <v>30</v>
      </c>
      <c r="R270" s="19" t="s">
        <v>946</v>
      </c>
      <c r="BO270"/>
      <c r="BP270"/>
    </row>
    <row r="271" spans="1:68" x14ac:dyDescent="0.25">
      <c r="A271" s="19"/>
      <c r="B271" s="19"/>
      <c r="C271" s="19"/>
      <c r="D271" s="19"/>
      <c r="E271" s="19"/>
      <c r="F271" s="19"/>
      <c r="G271" s="38" t="s">
        <v>194</v>
      </c>
      <c r="H271" s="38" t="s">
        <v>206</v>
      </c>
      <c r="I271" s="46" t="str">
        <f t="shared" si="25"/>
        <v>Cloud_Practice_USAArchitect</v>
      </c>
      <c r="J271" s="40" t="s">
        <v>213</v>
      </c>
      <c r="K271" s="38" t="s">
        <v>776</v>
      </c>
      <c r="M271" s="19" t="s">
        <v>426</v>
      </c>
      <c r="N271" s="19" t="s">
        <v>200</v>
      </c>
      <c r="O271" s="19" t="str">
        <f t="shared" si="29"/>
        <v>TS_Practice_IndiaProject Manager</v>
      </c>
      <c r="P271" s="21">
        <v>56</v>
      </c>
      <c r="Q271" s="21">
        <v>28</v>
      </c>
      <c r="R271" s="19" t="s">
        <v>946</v>
      </c>
      <c r="BO271"/>
      <c r="BP271"/>
    </row>
    <row r="272" spans="1:68" x14ac:dyDescent="0.25">
      <c r="A272" s="19"/>
      <c r="B272" s="19"/>
      <c r="C272" s="19"/>
      <c r="D272" s="19"/>
      <c r="E272" s="19"/>
      <c r="F272" s="19"/>
      <c r="G272" s="38" t="s">
        <v>194</v>
      </c>
      <c r="H272" s="38" t="s">
        <v>206</v>
      </c>
      <c r="I272" s="46" t="str">
        <f t="shared" si="25"/>
        <v>Cloud_Practice_USAArchitect</v>
      </c>
      <c r="J272" s="40" t="s">
        <v>214</v>
      </c>
      <c r="K272" s="38" t="s">
        <v>776</v>
      </c>
      <c r="M272" s="19" t="s">
        <v>426</v>
      </c>
      <c r="N272" s="19" t="s">
        <v>458</v>
      </c>
      <c r="O272" s="19" t="str">
        <f t="shared" si="29"/>
        <v>TS_Practice_IndiaService Delivery Manager</v>
      </c>
      <c r="P272" s="21">
        <v>65</v>
      </c>
      <c r="Q272" s="21">
        <v>37</v>
      </c>
      <c r="R272" s="19" t="s">
        <v>946</v>
      </c>
      <c r="BO272"/>
      <c r="BP272"/>
    </row>
    <row r="273" spans="1:68" x14ac:dyDescent="0.25">
      <c r="A273" s="19"/>
      <c r="B273" s="19"/>
      <c r="C273" s="19"/>
      <c r="D273" s="19"/>
      <c r="E273" s="19"/>
      <c r="F273" s="19"/>
      <c r="G273" s="38" t="s">
        <v>215</v>
      </c>
      <c r="H273" s="38" t="s">
        <v>216</v>
      </c>
      <c r="I273" s="46" t="str">
        <f t="shared" si="25"/>
        <v>EPM_Practice_Canada_-_ConsolidationApplication Developer</v>
      </c>
      <c r="J273" s="40" t="s">
        <v>217</v>
      </c>
      <c r="K273" s="38" t="s">
        <v>943</v>
      </c>
      <c r="M273" s="19" t="s">
        <v>426</v>
      </c>
      <c r="N273" s="19" t="s">
        <v>313</v>
      </c>
      <c r="O273" s="19" t="str">
        <f t="shared" si="29"/>
        <v>TS_Practice_IndiaSolution Architect</v>
      </c>
      <c r="P273" s="21">
        <v>68</v>
      </c>
      <c r="Q273" s="21">
        <v>34</v>
      </c>
      <c r="R273" s="19" t="s">
        <v>946</v>
      </c>
      <c r="BO273"/>
      <c r="BP273"/>
    </row>
    <row r="274" spans="1:68" x14ac:dyDescent="0.25">
      <c r="A274" s="19"/>
      <c r="B274" s="19"/>
      <c r="C274" s="19"/>
      <c r="D274" s="19"/>
      <c r="E274" s="19"/>
      <c r="F274" s="19"/>
      <c r="G274" s="38" t="s">
        <v>218</v>
      </c>
      <c r="H274" s="38" t="s">
        <v>219</v>
      </c>
      <c r="I274" s="46" t="str">
        <f t="shared" si="25"/>
        <v>EPM_Practice_India_-_ConsolidationSr. Application Lead</v>
      </c>
      <c r="J274" s="40" t="s">
        <v>220</v>
      </c>
      <c r="K274" s="38" t="s">
        <v>946</v>
      </c>
      <c r="M274" s="19"/>
      <c r="N274" s="19"/>
      <c r="O274" s="19" t="str">
        <f t="shared" ref="O274:O288" si="30">_xlfn.CONCAT(M274,N274)</f>
        <v/>
      </c>
      <c r="P274" s="21"/>
      <c r="Q274" s="21"/>
      <c r="R274" s="19"/>
      <c r="BO274"/>
      <c r="BP274"/>
    </row>
    <row r="275" spans="1:68" x14ac:dyDescent="0.25">
      <c r="A275" s="19"/>
      <c r="B275" s="19"/>
      <c r="C275" s="19"/>
      <c r="D275" s="19"/>
      <c r="E275" s="19"/>
      <c r="F275" s="19"/>
      <c r="G275" s="38" t="s">
        <v>218</v>
      </c>
      <c r="H275" s="38" t="s">
        <v>221</v>
      </c>
      <c r="I275" s="46" t="str">
        <f t="shared" si="25"/>
        <v>EPM_Practice_India_-_ConsolidationSr. Application Lead - FCC</v>
      </c>
      <c r="J275" s="40" t="s">
        <v>222</v>
      </c>
      <c r="K275" s="38" t="s">
        <v>946</v>
      </c>
      <c r="M275" s="259" t="s">
        <v>853</v>
      </c>
      <c r="N275" s="259" t="s">
        <v>176</v>
      </c>
      <c r="O275" s="259" t="str">
        <f t="shared" si="30"/>
        <v>ICSub_Contractor_USAContractor 1</v>
      </c>
      <c r="P275" s="260">
        <f>Q275/(1-Formulas!D18)</f>
        <v>223.07692307692307</v>
      </c>
      <c r="Q275" s="260">
        <f>Formulas!B18+Formulas!C18</f>
        <v>145</v>
      </c>
      <c r="R275" s="259" t="s">
        <v>776</v>
      </c>
      <c r="BO275"/>
      <c r="BP275"/>
    </row>
    <row r="276" spans="1:68" x14ac:dyDescent="0.25">
      <c r="A276" s="19"/>
      <c r="B276" s="19"/>
      <c r="C276" s="19"/>
      <c r="D276" s="19"/>
      <c r="E276" s="19"/>
      <c r="F276" s="19"/>
      <c r="G276" s="38" t="s">
        <v>218</v>
      </c>
      <c r="H276" s="38" t="s">
        <v>223</v>
      </c>
      <c r="I276" s="46" t="str">
        <f t="shared" si="25"/>
        <v>EPM_Practice_India_-_ConsolidationApplication Lead - FCC</v>
      </c>
      <c r="J276" s="40" t="s">
        <v>224</v>
      </c>
      <c r="K276" s="38" t="s">
        <v>946</v>
      </c>
      <c r="M276" s="259" t="s">
        <v>853</v>
      </c>
      <c r="N276" s="259" t="s">
        <v>177</v>
      </c>
      <c r="O276" s="259" t="str">
        <f t="shared" si="30"/>
        <v>ICSub_Contractor_USAContractor 2</v>
      </c>
      <c r="P276" s="260">
        <f>Q276/(1-Formulas!D19)</f>
        <v>223.07692307692307</v>
      </c>
      <c r="Q276" s="260">
        <f>Formulas!B19+Formulas!C19</f>
        <v>145</v>
      </c>
      <c r="R276" s="259" t="s">
        <v>776</v>
      </c>
      <c r="BO276"/>
      <c r="BP276"/>
    </row>
    <row r="277" spans="1:68" x14ac:dyDescent="0.25">
      <c r="A277" s="19"/>
      <c r="B277" s="19"/>
      <c r="C277" s="19"/>
      <c r="D277" s="19"/>
      <c r="E277" s="19"/>
      <c r="F277" s="19"/>
      <c r="G277" s="38" t="s">
        <v>218</v>
      </c>
      <c r="H277" s="38" t="s">
        <v>223</v>
      </c>
      <c r="I277" s="46" t="str">
        <f t="shared" si="25"/>
        <v>EPM_Practice_India_-_ConsolidationApplication Lead - FCC</v>
      </c>
      <c r="J277" s="40" t="s">
        <v>225</v>
      </c>
      <c r="K277" s="38" t="s">
        <v>946</v>
      </c>
      <c r="M277" s="259" t="s">
        <v>853</v>
      </c>
      <c r="N277" s="259" t="s">
        <v>178</v>
      </c>
      <c r="O277" s="259" t="str">
        <f t="shared" si="30"/>
        <v>ICSub_Contractor_USAContractor 3</v>
      </c>
      <c r="P277" s="260">
        <f>Q277/(1-Formulas!D20)</f>
        <v>223.07692307692307</v>
      </c>
      <c r="Q277" s="260">
        <f>Formulas!B20+Formulas!C20</f>
        <v>145</v>
      </c>
      <c r="R277" s="259" t="s">
        <v>776</v>
      </c>
      <c r="BO277"/>
      <c r="BP277"/>
    </row>
    <row r="278" spans="1:68" x14ac:dyDescent="0.25">
      <c r="A278" s="19"/>
      <c r="B278" s="19"/>
      <c r="C278" s="19"/>
      <c r="D278" s="19"/>
      <c r="E278" s="19"/>
      <c r="F278" s="19"/>
      <c r="G278" s="38" t="s">
        <v>218</v>
      </c>
      <c r="H278" s="38" t="s">
        <v>226</v>
      </c>
      <c r="I278" s="46" t="str">
        <f t="shared" si="25"/>
        <v>EPM_Practice_India_-_ConsolidationSoftware Engineer</v>
      </c>
      <c r="J278" s="40" t="s">
        <v>227</v>
      </c>
      <c r="K278" s="38" t="s">
        <v>946</v>
      </c>
      <c r="M278" s="259" t="s">
        <v>853</v>
      </c>
      <c r="N278" s="259" t="s">
        <v>179</v>
      </c>
      <c r="O278" s="259" t="str">
        <f t="shared" si="30"/>
        <v>ICSub_Contractor_USAContractor 4</v>
      </c>
      <c r="P278" s="260">
        <f>Q278/(1-Formulas!D21)</f>
        <v>223.07692307692307</v>
      </c>
      <c r="Q278" s="260">
        <f>Formulas!B21+Formulas!C21</f>
        <v>145</v>
      </c>
      <c r="R278" s="259" t="s">
        <v>776</v>
      </c>
      <c r="BO278"/>
      <c r="BP278"/>
    </row>
    <row r="279" spans="1:68" x14ac:dyDescent="0.25">
      <c r="A279" s="19"/>
      <c r="B279" s="19"/>
      <c r="C279" s="19"/>
      <c r="D279" s="19"/>
      <c r="E279" s="19"/>
      <c r="F279" s="19"/>
      <c r="G279" s="38" t="s">
        <v>218</v>
      </c>
      <c r="H279" s="38" t="s">
        <v>226</v>
      </c>
      <c r="I279" s="46" t="str">
        <f t="shared" si="25"/>
        <v>EPM_Practice_India_-_ConsolidationSoftware Engineer</v>
      </c>
      <c r="J279" s="40" t="s">
        <v>228</v>
      </c>
      <c r="K279" s="38" t="s">
        <v>946</v>
      </c>
      <c r="M279" s="259" t="s">
        <v>853</v>
      </c>
      <c r="N279" s="259" t="s">
        <v>180</v>
      </c>
      <c r="O279" s="259" t="str">
        <f t="shared" si="30"/>
        <v>ICSub_Contractor_USAContractor 5</v>
      </c>
      <c r="P279" s="260">
        <f>Q279/(1-Formulas!D22)</f>
        <v>223.07692307692307</v>
      </c>
      <c r="Q279" s="260">
        <f>Formulas!B22+Formulas!C22</f>
        <v>145</v>
      </c>
      <c r="R279" s="259" t="s">
        <v>776</v>
      </c>
      <c r="BO279"/>
      <c r="BP279"/>
    </row>
    <row r="280" spans="1:68" x14ac:dyDescent="0.25">
      <c r="A280" s="19"/>
      <c r="B280" s="19"/>
      <c r="C280" s="19"/>
      <c r="D280" s="19"/>
      <c r="E280" s="19"/>
      <c r="F280" s="19"/>
      <c r="G280" s="38" t="s">
        <v>218</v>
      </c>
      <c r="H280" s="38" t="s">
        <v>223</v>
      </c>
      <c r="I280" s="46" t="str">
        <f t="shared" si="25"/>
        <v>EPM_Practice_India_-_ConsolidationApplication Lead - FCC</v>
      </c>
      <c r="J280" s="40" t="s">
        <v>229</v>
      </c>
      <c r="K280" s="38" t="s">
        <v>946</v>
      </c>
      <c r="M280" s="19"/>
      <c r="N280" s="19"/>
      <c r="O280" s="298"/>
      <c r="P280" s="21"/>
      <c r="Q280" s="21"/>
      <c r="R280" s="19"/>
      <c r="BO280"/>
      <c r="BP280"/>
    </row>
    <row r="281" spans="1:68" x14ac:dyDescent="0.25">
      <c r="A281" s="19"/>
      <c r="B281" s="19"/>
      <c r="C281" s="19"/>
      <c r="D281" s="19"/>
      <c r="E281" s="19"/>
      <c r="F281" s="19"/>
      <c r="G281" s="38" t="s">
        <v>218</v>
      </c>
      <c r="H281" s="38" t="s">
        <v>230</v>
      </c>
      <c r="I281" s="46" t="str">
        <f t="shared" si="25"/>
        <v>EPM_Practice_India_-_ConsolidationSr. Software Engineer</v>
      </c>
      <c r="J281" s="40" t="s">
        <v>231</v>
      </c>
      <c r="K281" s="38" t="s">
        <v>946</v>
      </c>
      <c r="M281" s="299" t="s">
        <v>857</v>
      </c>
      <c r="N281" s="299" t="s">
        <v>176</v>
      </c>
      <c r="O281" s="299" t="str">
        <f t="shared" si="30"/>
        <v>ICSub_Contractor_IndiaContractor 1</v>
      </c>
      <c r="P281" s="300">
        <f>Q275/(1-Formulas!D18)</f>
        <v>223.07692307692307</v>
      </c>
      <c r="Q281" s="300">
        <f>Formulas!B18+Formulas!C18</f>
        <v>145</v>
      </c>
      <c r="R281" s="299" t="s">
        <v>946</v>
      </c>
      <c r="BO281"/>
      <c r="BP281"/>
    </row>
    <row r="282" spans="1:68" x14ac:dyDescent="0.25">
      <c r="A282" s="19"/>
      <c r="B282" s="19"/>
      <c r="C282" s="19"/>
      <c r="D282" s="19"/>
      <c r="E282" s="19"/>
      <c r="F282" s="19"/>
      <c r="G282" s="38" t="s">
        <v>218</v>
      </c>
      <c r="H282" s="38" t="s">
        <v>230</v>
      </c>
      <c r="I282" s="46" t="str">
        <f t="shared" si="25"/>
        <v>EPM_Practice_India_-_ConsolidationSr. Software Engineer</v>
      </c>
      <c r="J282" s="40" t="s">
        <v>232</v>
      </c>
      <c r="K282" s="38" t="s">
        <v>946</v>
      </c>
      <c r="M282" s="299" t="s">
        <v>857</v>
      </c>
      <c r="N282" s="299" t="s">
        <v>177</v>
      </c>
      <c r="O282" s="299" t="str">
        <f t="shared" si="30"/>
        <v>ICSub_Contractor_IndiaContractor 2</v>
      </c>
      <c r="P282" s="300">
        <f>Q276/(1-Formulas!D19)</f>
        <v>223.07692307692307</v>
      </c>
      <c r="Q282" s="300">
        <f>Formulas!B19+Formulas!C19</f>
        <v>145</v>
      </c>
      <c r="R282" s="299" t="s">
        <v>946</v>
      </c>
      <c r="BO282"/>
      <c r="BP282"/>
    </row>
    <row r="283" spans="1:68" x14ac:dyDescent="0.25">
      <c r="A283" s="19"/>
      <c r="B283" s="19"/>
      <c r="C283" s="19"/>
      <c r="D283" s="19"/>
      <c r="E283" s="19"/>
      <c r="F283" s="19"/>
      <c r="G283" s="38" t="s">
        <v>218</v>
      </c>
      <c r="H283" s="38" t="s">
        <v>230</v>
      </c>
      <c r="I283" s="46" t="str">
        <f t="shared" si="25"/>
        <v>EPM_Practice_India_-_ConsolidationSr. Software Engineer</v>
      </c>
      <c r="J283" s="40" t="s">
        <v>233</v>
      </c>
      <c r="K283" s="38" t="s">
        <v>946</v>
      </c>
      <c r="M283" s="299" t="s">
        <v>857</v>
      </c>
      <c r="N283" s="299" t="s">
        <v>178</v>
      </c>
      <c r="O283" s="299" t="str">
        <f t="shared" si="30"/>
        <v>ICSub_Contractor_IndiaContractor 3</v>
      </c>
      <c r="P283" s="300">
        <f>Q277/(1-Formulas!D20)</f>
        <v>223.07692307692307</v>
      </c>
      <c r="Q283" s="300">
        <f>Formulas!B20+Formulas!C20</f>
        <v>145</v>
      </c>
      <c r="R283" s="299" t="s">
        <v>946</v>
      </c>
      <c r="BO283"/>
      <c r="BP283"/>
    </row>
    <row r="284" spans="1:68" x14ac:dyDescent="0.25">
      <c r="A284" s="19"/>
      <c r="B284" s="19"/>
      <c r="C284" s="19"/>
      <c r="D284" s="19"/>
      <c r="E284" s="19"/>
      <c r="F284" s="19"/>
      <c r="G284" s="38" t="s">
        <v>218</v>
      </c>
      <c r="H284" s="38" t="s">
        <v>234</v>
      </c>
      <c r="I284" s="46" t="str">
        <f t="shared" si="25"/>
        <v>EPM_Practice_India_-_ConsolidationApplication Developer - FCC</v>
      </c>
      <c r="J284" s="40" t="s">
        <v>235</v>
      </c>
      <c r="K284" s="38" t="s">
        <v>946</v>
      </c>
      <c r="M284" s="299" t="s">
        <v>857</v>
      </c>
      <c r="N284" s="299" t="s">
        <v>179</v>
      </c>
      <c r="O284" s="299" t="str">
        <f t="shared" si="30"/>
        <v>ICSub_Contractor_IndiaContractor 4</v>
      </c>
      <c r="P284" s="300">
        <f>Q278/(1-Formulas!D21)</f>
        <v>223.07692307692307</v>
      </c>
      <c r="Q284" s="300">
        <f>Formulas!B21+Formulas!C21</f>
        <v>145</v>
      </c>
      <c r="R284" s="299" t="s">
        <v>946</v>
      </c>
      <c r="BO284"/>
      <c r="BP284"/>
    </row>
    <row r="285" spans="1:68" x14ac:dyDescent="0.25">
      <c r="A285" s="19"/>
      <c r="B285" s="19"/>
      <c r="C285" s="19"/>
      <c r="D285" s="19"/>
      <c r="E285" s="19"/>
      <c r="F285" s="19"/>
      <c r="G285" s="38" t="s">
        <v>218</v>
      </c>
      <c r="H285" s="38" t="s">
        <v>234</v>
      </c>
      <c r="I285" s="46" t="str">
        <f t="shared" si="25"/>
        <v>EPM_Practice_India_-_ConsolidationApplication Developer - FCC</v>
      </c>
      <c r="J285" s="40" t="s">
        <v>236</v>
      </c>
      <c r="K285" s="38" t="s">
        <v>946</v>
      </c>
      <c r="M285" s="299" t="s">
        <v>857</v>
      </c>
      <c r="N285" s="299" t="s">
        <v>180</v>
      </c>
      <c r="O285" s="299" t="str">
        <f t="shared" si="30"/>
        <v>ICSub_Contractor_IndiaContractor 5</v>
      </c>
      <c r="P285" s="300">
        <f>Q279/(1-Formulas!D22)</f>
        <v>223.07692307692307</v>
      </c>
      <c r="Q285" s="300">
        <f>Formulas!B22+Formulas!C22</f>
        <v>145</v>
      </c>
      <c r="R285" s="299" t="s">
        <v>946</v>
      </c>
      <c r="BO285"/>
      <c r="BP285"/>
    </row>
    <row r="286" spans="1:68" x14ac:dyDescent="0.25">
      <c r="A286" s="19"/>
      <c r="B286" s="19"/>
      <c r="C286" s="19"/>
      <c r="D286" s="19"/>
      <c r="E286" s="19"/>
      <c r="F286" s="19"/>
      <c r="G286" s="38" t="s">
        <v>218</v>
      </c>
      <c r="H286" s="38" t="s">
        <v>237</v>
      </c>
      <c r="I286" s="46" t="str">
        <f t="shared" si="25"/>
        <v>EPM_Practice_India_-_ConsolidationSr. Solution Architect - FCC</v>
      </c>
      <c r="J286" s="40" t="s">
        <v>238</v>
      </c>
      <c r="K286" s="38" t="s">
        <v>946</v>
      </c>
      <c r="M286" s="19"/>
      <c r="N286" s="19"/>
      <c r="O286" s="19"/>
      <c r="P286" s="21"/>
      <c r="Q286" s="21"/>
      <c r="R286" s="19"/>
      <c r="BO286"/>
      <c r="BP286"/>
    </row>
    <row r="287" spans="1:68" x14ac:dyDescent="0.25">
      <c r="A287" s="19"/>
      <c r="B287" s="19"/>
      <c r="C287" s="19"/>
      <c r="D287" s="19"/>
      <c r="E287" s="19"/>
      <c r="F287" s="19"/>
      <c r="G287" s="38" t="s">
        <v>218</v>
      </c>
      <c r="H287" s="38" t="s">
        <v>223</v>
      </c>
      <c r="I287" s="46" t="str">
        <f t="shared" si="25"/>
        <v>EPM_Practice_India_-_ConsolidationApplication Lead - FCC</v>
      </c>
      <c r="J287" s="40" t="s">
        <v>239</v>
      </c>
      <c r="K287" s="38" t="s">
        <v>946</v>
      </c>
      <c r="M287" s="259" t="s">
        <v>849</v>
      </c>
      <c r="N287" s="259" t="s">
        <v>187</v>
      </c>
      <c r="O287" s="259" t="str">
        <f t="shared" si="30"/>
        <v>Donyati_Products_USADART</v>
      </c>
      <c r="P287" s="260">
        <f>Formulas!B31</f>
        <v>4000</v>
      </c>
      <c r="Q287" s="260">
        <f>IF('Pricing Details'!F2="New",P287*0.6,P287*0.65)</f>
        <v>2600</v>
      </c>
      <c r="R287" s="259" t="s">
        <v>776</v>
      </c>
      <c r="BO287"/>
      <c r="BP287"/>
    </row>
    <row r="288" spans="1:68" x14ac:dyDescent="0.25">
      <c r="A288" s="19"/>
      <c r="B288" s="19"/>
      <c r="C288" s="19"/>
      <c r="D288" s="19"/>
      <c r="E288" s="19"/>
      <c r="F288" s="19"/>
      <c r="G288" s="38" t="s">
        <v>240</v>
      </c>
      <c r="H288" s="38" t="s">
        <v>241</v>
      </c>
      <c r="I288" s="46" t="str">
        <f t="shared" ref="I288:I351" si="31">_xlfn.CONCAT(G288,H288)</f>
        <v>EPM_Practice_India_-_IntegrationSr. Solution Architect</v>
      </c>
      <c r="J288" s="40" t="s">
        <v>242</v>
      </c>
      <c r="K288" s="38" t="s">
        <v>946</v>
      </c>
      <c r="M288" s="259" t="s">
        <v>849</v>
      </c>
      <c r="N288" s="259" t="s">
        <v>188</v>
      </c>
      <c r="O288" s="259" t="str">
        <f t="shared" si="30"/>
        <v>Donyati_Products_USAEPM Cloud Assurance</v>
      </c>
      <c r="P288" s="260">
        <f>Formulas!B32</f>
        <v>4000</v>
      </c>
      <c r="Q288" s="260">
        <f>IF('Pricing Details'!F2="New",P288*0.6,P288*0.65)</f>
        <v>2600</v>
      </c>
      <c r="R288" s="259" t="s">
        <v>776</v>
      </c>
      <c r="BO288"/>
      <c r="BP288"/>
    </row>
    <row r="289" spans="1:68" x14ac:dyDescent="0.25">
      <c r="A289" s="19"/>
      <c r="B289" s="19"/>
      <c r="C289" s="19"/>
      <c r="D289" s="19"/>
      <c r="E289" s="19"/>
      <c r="F289" s="19"/>
      <c r="G289" s="38" t="s">
        <v>240</v>
      </c>
      <c r="H289" s="38" t="s">
        <v>230</v>
      </c>
      <c r="I289" s="46" t="str">
        <f t="shared" si="31"/>
        <v>EPM_Practice_India_-_IntegrationSr. Software Engineer</v>
      </c>
      <c r="J289" s="40" t="s">
        <v>243</v>
      </c>
      <c r="K289" s="38" t="s">
        <v>946</v>
      </c>
      <c r="M289" s="19"/>
      <c r="N289" s="19"/>
      <c r="O289" s="19"/>
      <c r="P289" s="21"/>
      <c r="Q289" s="21"/>
      <c r="R289" s="19"/>
      <c r="BO289"/>
      <c r="BP289"/>
    </row>
    <row r="290" spans="1:68" x14ac:dyDescent="0.25">
      <c r="A290" s="19"/>
      <c r="B290" s="19"/>
      <c r="C290" s="19"/>
      <c r="D290" s="19"/>
      <c r="E290" s="19"/>
      <c r="F290" s="19"/>
      <c r="G290" s="38" t="s">
        <v>240</v>
      </c>
      <c r="H290" s="38" t="s">
        <v>226</v>
      </c>
      <c r="I290" s="46" t="str">
        <f t="shared" si="31"/>
        <v>EPM_Practice_India_-_IntegrationSoftware Engineer</v>
      </c>
      <c r="J290" s="40" t="s">
        <v>244</v>
      </c>
      <c r="K290" s="38" t="s">
        <v>946</v>
      </c>
      <c r="M290" s="19"/>
      <c r="N290" s="19"/>
      <c r="O290" s="19"/>
      <c r="P290" s="21"/>
      <c r="Q290" s="21"/>
      <c r="R290" s="19"/>
      <c r="BO290"/>
      <c r="BP290"/>
    </row>
    <row r="291" spans="1:68" x14ac:dyDescent="0.25">
      <c r="A291" s="19"/>
      <c r="B291" s="19"/>
      <c r="C291" s="19"/>
      <c r="D291" s="19"/>
      <c r="E291" s="19"/>
      <c r="F291" s="19"/>
      <c r="G291" s="38" t="s">
        <v>240</v>
      </c>
      <c r="H291" s="38" t="s">
        <v>230</v>
      </c>
      <c r="I291" s="46" t="str">
        <f t="shared" si="31"/>
        <v>EPM_Practice_India_-_IntegrationSr. Software Engineer</v>
      </c>
      <c r="J291" s="40" t="s">
        <v>245</v>
      </c>
      <c r="K291" s="38" t="s">
        <v>946</v>
      </c>
      <c r="M291" s="19"/>
      <c r="N291" s="19"/>
      <c r="O291" s="19"/>
      <c r="P291" s="21"/>
      <c r="Q291" s="21"/>
      <c r="R291" s="19"/>
      <c r="BO291"/>
      <c r="BP291"/>
    </row>
    <row r="292" spans="1:68" x14ac:dyDescent="0.25">
      <c r="A292" s="19"/>
      <c r="B292" s="19"/>
      <c r="C292" s="19"/>
      <c r="D292" s="19"/>
      <c r="E292" s="19"/>
      <c r="F292" s="19"/>
      <c r="G292" s="38" t="s">
        <v>240</v>
      </c>
      <c r="H292" s="38" t="s">
        <v>246</v>
      </c>
      <c r="I292" s="46" t="str">
        <f t="shared" si="31"/>
        <v>EPM_Practice_India_-_IntegrationSolution Architect - DI</v>
      </c>
      <c r="J292" s="40" t="s">
        <v>247</v>
      </c>
      <c r="K292" s="38" t="s">
        <v>946</v>
      </c>
      <c r="M292" s="19"/>
      <c r="N292" s="19"/>
      <c r="O292" s="19"/>
      <c r="P292" s="21"/>
      <c r="Q292" s="21"/>
      <c r="R292" s="133"/>
      <c r="BO292"/>
      <c r="BP292"/>
    </row>
    <row r="293" spans="1:68" x14ac:dyDescent="0.25">
      <c r="A293" s="19"/>
      <c r="B293" s="19"/>
      <c r="C293" s="19"/>
      <c r="D293" s="19"/>
      <c r="E293" s="19"/>
      <c r="F293" s="19"/>
      <c r="G293" s="38" t="s">
        <v>240</v>
      </c>
      <c r="H293" s="38" t="s">
        <v>226</v>
      </c>
      <c r="I293" s="46" t="str">
        <f t="shared" si="31"/>
        <v>EPM_Practice_India_-_IntegrationSoftware Engineer</v>
      </c>
      <c r="J293" s="40" t="s">
        <v>248</v>
      </c>
      <c r="K293" s="38" t="s">
        <v>946</v>
      </c>
      <c r="M293" s="19"/>
      <c r="N293" s="19"/>
      <c r="O293" s="19"/>
      <c r="P293" s="21"/>
      <c r="Q293" s="21"/>
      <c r="R293" s="133"/>
      <c r="BO293"/>
      <c r="BP293"/>
    </row>
    <row r="294" spans="1:68" x14ac:dyDescent="0.25">
      <c r="A294" s="19"/>
      <c r="B294" s="19"/>
      <c r="C294" s="19"/>
      <c r="D294" s="19"/>
      <c r="E294" s="19"/>
      <c r="F294" s="19"/>
      <c r="G294" s="38" t="s">
        <v>240</v>
      </c>
      <c r="H294" s="38" t="s">
        <v>226</v>
      </c>
      <c r="I294" s="46" t="str">
        <f t="shared" si="31"/>
        <v>EPM_Practice_India_-_IntegrationSoftware Engineer</v>
      </c>
      <c r="J294" s="40" t="s">
        <v>249</v>
      </c>
      <c r="K294" s="38" t="s">
        <v>946</v>
      </c>
      <c r="M294" s="19"/>
      <c r="N294" s="19"/>
      <c r="O294" s="19"/>
      <c r="P294" s="21"/>
      <c r="Q294" s="21"/>
      <c r="R294" s="133"/>
      <c r="BO294"/>
      <c r="BP294"/>
    </row>
    <row r="295" spans="1:68" x14ac:dyDescent="0.25">
      <c r="A295" s="19"/>
      <c r="B295" s="19"/>
      <c r="C295" s="19"/>
      <c r="D295" s="19"/>
      <c r="E295" s="19"/>
      <c r="F295" s="19"/>
      <c r="G295" s="38" t="s">
        <v>240</v>
      </c>
      <c r="H295" s="38" t="s">
        <v>226</v>
      </c>
      <c r="I295" s="46" t="str">
        <f t="shared" si="31"/>
        <v>EPM_Practice_India_-_IntegrationSoftware Engineer</v>
      </c>
      <c r="J295" s="40" t="s">
        <v>250</v>
      </c>
      <c r="K295" s="38" t="s">
        <v>946</v>
      </c>
      <c r="M295" s="19"/>
      <c r="N295" s="19"/>
      <c r="O295" s="19"/>
      <c r="P295" s="21"/>
      <c r="Q295" s="21"/>
      <c r="R295" s="133"/>
      <c r="BO295"/>
      <c r="BP295"/>
    </row>
    <row r="296" spans="1:68" x14ac:dyDescent="0.25">
      <c r="A296" s="19"/>
      <c r="B296" s="19"/>
      <c r="C296" s="19"/>
      <c r="D296" s="19"/>
      <c r="E296" s="19"/>
      <c r="F296" s="19"/>
      <c r="G296" s="38" t="s">
        <v>240</v>
      </c>
      <c r="H296" s="38" t="s">
        <v>230</v>
      </c>
      <c r="I296" s="46" t="str">
        <f t="shared" si="31"/>
        <v>EPM_Practice_India_-_IntegrationSr. Software Engineer</v>
      </c>
      <c r="J296" s="40" t="s">
        <v>251</v>
      </c>
      <c r="K296" s="38" t="s">
        <v>946</v>
      </c>
      <c r="M296" s="19"/>
      <c r="N296" s="19"/>
      <c r="O296" s="19"/>
      <c r="P296" s="21"/>
      <c r="Q296" s="21"/>
      <c r="R296" s="133"/>
      <c r="BO296"/>
      <c r="BP296"/>
    </row>
    <row r="297" spans="1:68" x14ac:dyDescent="0.25">
      <c r="A297" s="19"/>
      <c r="B297" s="19"/>
      <c r="C297" s="19"/>
      <c r="D297" s="19"/>
      <c r="E297" s="19"/>
      <c r="F297" s="19"/>
      <c r="G297" s="38" t="s">
        <v>240</v>
      </c>
      <c r="H297" s="38" t="s">
        <v>226</v>
      </c>
      <c r="I297" s="46" t="str">
        <f t="shared" si="31"/>
        <v>EPM_Practice_India_-_IntegrationSoftware Engineer</v>
      </c>
      <c r="J297" s="40" t="s">
        <v>252</v>
      </c>
      <c r="K297" s="38" t="s">
        <v>946</v>
      </c>
      <c r="M297" s="19"/>
      <c r="N297" s="19"/>
      <c r="O297" s="19"/>
      <c r="P297" s="21"/>
      <c r="Q297" s="21"/>
      <c r="R297" s="133"/>
      <c r="BO297"/>
      <c r="BP297"/>
    </row>
    <row r="298" spans="1:68" x14ac:dyDescent="0.25">
      <c r="A298" s="19"/>
      <c r="B298" s="19"/>
      <c r="C298" s="19"/>
      <c r="D298" s="19"/>
      <c r="E298" s="19"/>
      <c r="F298" s="19"/>
      <c r="G298" s="38" t="s">
        <v>240</v>
      </c>
      <c r="H298" s="38" t="s">
        <v>226</v>
      </c>
      <c r="I298" s="46" t="str">
        <f t="shared" si="31"/>
        <v>EPM_Practice_India_-_IntegrationSoftware Engineer</v>
      </c>
      <c r="J298" s="40" t="s">
        <v>253</v>
      </c>
      <c r="K298" s="38" t="s">
        <v>946</v>
      </c>
      <c r="M298" s="19"/>
      <c r="N298" s="19"/>
      <c r="O298" s="19"/>
      <c r="P298" s="21"/>
      <c r="Q298" s="21"/>
      <c r="R298" s="133"/>
      <c r="BO298"/>
      <c r="BP298"/>
    </row>
    <row r="299" spans="1:68" x14ac:dyDescent="0.25">
      <c r="A299" s="19"/>
      <c r="B299" s="19"/>
      <c r="C299" s="19"/>
      <c r="D299" s="19"/>
      <c r="E299" s="19"/>
      <c r="F299" s="19"/>
      <c r="G299" s="38" t="s">
        <v>240</v>
      </c>
      <c r="H299" s="38" t="s">
        <v>254</v>
      </c>
      <c r="I299" s="46" t="str">
        <f t="shared" si="31"/>
        <v>EPM_Practice_India_-_IntegrationIntegration Lead</v>
      </c>
      <c r="J299" s="40" t="s">
        <v>255</v>
      </c>
      <c r="K299" s="38" t="s">
        <v>946</v>
      </c>
      <c r="M299" s="19"/>
      <c r="N299" s="19"/>
      <c r="O299" s="19"/>
      <c r="P299" s="21"/>
      <c r="Q299" s="21"/>
      <c r="R299" s="133"/>
      <c r="BO299"/>
      <c r="BP299"/>
    </row>
    <row r="300" spans="1:68" x14ac:dyDescent="0.25">
      <c r="A300" s="19"/>
      <c r="B300" s="19"/>
      <c r="C300" s="19"/>
      <c r="D300" s="19"/>
      <c r="E300" s="19"/>
      <c r="F300" s="19"/>
      <c r="G300" s="38" t="s">
        <v>240</v>
      </c>
      <c r="H300" s="38" t="s">
        <v>226</v>
      </c>
      <c r="I300" s="46" t="str">
        <f t="shared" si="31"/>
        <v>EPM_Practice_India_-_IntegrationSoftware Engineer</v>
      </c>
      <c r="J300" s="40" t="s">
        <v>256</v>
      </c>
      <c r="K300" s="38" t="s">
        <v>946</v>
      </c>
      <c r="M300" s="19"/>
      <c r="N300" s="19"/>
      <c r="O300" s="19"/>
      <c r="P300" s="21"/>
      <c r="Q300" s="21"/>
      <c r="R300" s="133"/>
      <c r="BO300"/>
      <c r="BP300"/>
    </row>
    <row r="301" spans="1:68" x14ac:dyDescent="0.25">
      <c r="A301" s="19"/>
      <c r="B301" s="19"/>
      <c r="C301" s="19"/>
      <c r="D301" s="19"/>
      <c r="E301" s="19"/>
      <c r="F301" s="19"/>
      <c r="G301" s="38" t="s">
        <v>240</v>
      </c>
      <c r="H301" s="38" t="s">
        <v>257</v>
      </c>
      <c r="I301" s="46" t="str">
        <f t="shared" si="31"/>
        <v>EPM_Practice_India_-_IntegrationSr. Application Developer - DI</v>
      </c>
      <c r="J301" s="40" t="s">
        <v>258</v>
      </c>
      <c r="K301" s="38" t="s">
        <v>946</v>
      </c>
      <c r="M301" s="19"/>
      <c r="N301" s="19"/>
      <c r="O301" s="19"/>
      <c r="P301" s="21"/>
      <c r="Q301" s="21"/>
      <c r="R301" s="133"/>
      <c r="BO301"/>
      <c r="BP301"/>
    </row>
    <row r="302" spans="1:68" x14ac:dyDescent="0.25">
      <c r="A302" s="19"/>
      <c r="B302" s="19"/>
      <c r="C302" s="19"/>
      <c r="D302" s="19"/>
      <c r="E302" s="19"/>
      <c r="F302" s="19"/>
      <c r="G302" s="38" t="s">
        <v>240</v>
      </c>
      <c r="H302" s="38" t="s">
        <v>259</v>
      </c>
      <c r="I302" s="46" t="str">
        <f t="shared" si="31"/>
        <v>EPM_Practice_India_-_IntegrationSr. Integration Developer</v>
      </c>
      <c r="J302" s="40" t="s">
        <v>260</v>
      </c>
      <c r="K302" s="38" t="s">
        <v>946</v>
      </c>
      <c r="M302" s="19"/>
      <c r="N302" s="19"/>
      <c r="O302" s="19"/>
      <c r="P302" s="21"/>
      <c r="Q302" s="21"/>
      <c r="R302" s="133"/>
      <c r="BO302"/>
      <c r="BP302"/>
    </row>
    <row r="303" spans="1:68" x14ac:dyDescent="0.25">
      <c r="A303" s="19"/>
      <c r="B303" s="19"/>
      <c r="C303" s="19"/>
      <c r="D303" s="19"/>
      <c r="E303" s="19"/>
      <c r="F303" s="19"/>
      <c r="G303" s="38" t="s">
        <v>240</v>
      </c>
      <c r="H303" s="38" t="s">
        <v>261</v>
      </c>
      <c r="I303" s="46" t="str">
        <f t="shared" si="31"/>
        <v>EPM_Practice_India_-_IntegrationApplication Developer - DI</v>
      </c>
      <c r="J303" s="40" t="s">
        <v>262</v>
      </c>
      <c r="K303" s="38" t="s">
        <v>946</v>
      </c>
      <c r="M303" s="19"/>
      <c r="N303" s="19"/>
      <c r="O303" s="19"/>
      <c r="P303" s="21"/>
      <c r="Q303" s="21"/>
      <c r="R303" s="133"/>
      <c r="BO303"/>
      <c r="BP303"/>
    </row>
    <row r="304" spans="1:68" x14ac:dyDescent="0.25">
      <c r="A304" s="19"/>
      <c r="B304" s="19"/>
      <c r="C304" s="19"/>
      <c r="D304" s="19"/>
      <c r="E304" s="19"/>
      <c r="F304" s="19"/>
      <c r="G304" s="38" t="s">
        <v>240</v>
      </c>
      <c r="H304" s="38" t="s">
        <v>254</v>
      </c>
      <c r="I304" s="46" t="str">
        <f t="shared" si="31"/>
        <v>EPM_Practice_India_-_IntegrationIntegration Lead</v>
      </c>
      <c r="J304" s="40" t="s">
        <v>263</v>
      </c>
      <c r="K304" s="38" t="s">
        <v>946</v>
      </c>
      <c r="M304" s="19"/>
      <c r="N304" s="19"/>
      <c r="O304" s="19"/>
      <c r="P304" s="21"/>
      <c r="Q304" s="21"/>
      <c r="R304" s="133"/>
      <c r="BO304"/>
      <c r="BP304"/>
    </row>
    <row r="305" spans="1:68" x14ac:dyDescent="0.25">
      <c r="A305" s="19"/>
      <c r="B305" s="19"/>
      <c r="C305" s="19"/>
      <c r="D305" s="19"/>
      <c r="E305" s="19"/>
      <c r="F305" s="19"/>
      <c r="G305" s="38" t="s">
        <v>240</v>
      </c>
      <c r="H305" s="38" t="s">
        <v>261</v>
      </c>
      <c r="I305" s="46" t="str">
        <f t="shared" si="31"/>
        <v>EPM_Practice_India_-_IntegrationApplication Developer - DI</v>
      </c>
      <c r="J305" s="40" t="s">
        <v>264</v>
      </c>
      <c r="K305" s="38" t="s">
        <v>946</v>
      </c>
      <c r="M305" s="19"/>
      <c r="N305" s="19"/>
      <c r="O305" s="19"/>
      <c r="P305" s="21"/>
      <c r="Q305" s="21"/>
      <c r="R305" s="133"/>
      <c r="BO305"/>
      <c r="BP305"/>
    </row>
    <row r="306" spans="1:68" x14ac:dyDescent="0.25">
      <c r="A306" s="19"/>
      <c r="B306" s="19"/>
      <c r="C306" s="19"/>
      <c r="D306" s="19"/>
      <c r="E306" s="19"/>
      <c r="F306" s="19"/>
      <c r="G306" s="38" t="s">
        <v>240</v>
      </c>
      <c r="H306" s="38" t="s">
        <v>257</v>
      </c>
      <c r="I306" s="46" t="str">
        <f t="shared" si="31"/>
        <v>EPM_Practice_India_-_IntegrationSr. Application Developer - DI</v>
      </c>
      <c r="J306" s="40" t="s">
        <v>265</v>
      </c>
      <c r="K306" s="38" t="s">
        <v>946</v>
      </c>
      <c r="M306" s="19"/>
      <c r="N306" s="19"/>
      <c r="O306" s="19"/>
      <c r="P306" s="21"/>
      <c r="Q306" s="21"/>
      <c r="R306" s="133"/>
      <c r="BO306"/>
      <c r="BP306"/>
    </row>
    <row r="307" spans="1:68" x14ac:dyDescent="0.25">
      <c r="A307" s="19"/>
      <c r="B307" s="19"/>
      <c r="C307" s="19"/>
      <c r="D307" s="19"/>
      <c r="E307" s="19"/>
      <c r="F307" s="19"/>
      <c r="G307" s="38" t="s">
        <v>240</v>
      </c>
      <c r="H307" s="38" t="s">
        <v>230</v>
      </c>
      <c r="I307" s="46" t="str">
        <f t="shared" si="31"/>
        <v>EPM_Practice_India_-_IntegrationSr. Software Engineer</v>
      </c>
      <c r="J307" s="40" t="s">
        <v>266</v>
      </c>
      <c r="K307" s="38" t="s">
        <v>946</v>
      </c>
      <c r="M307" s="19"/>
      <c r="N307" s="19"/>
      <c r="O307" s="19"/>
      <c r="P307" s="21"/>
      <c r="Q307" s="21"/>
      <c r="R307" s="133"/>
      <c r="BO307"/>
      <c r="BP307"/>
    </row>
    <row r="308" spans="1:68" x14ac:dyDescent="0.25">
      <c r="A308" s="19"/>
      <c r="B308" s="19"/>
      <c r="C308" s="19"/>
      <c r="D308" s="19"/>
      <c r="E308" s="19"/>
      <c r="F308" s="19"/>
      <c r="G308" s="38" t="s">
        <v>240</v>
      </c>
      <c r="H308" s="38" t="s">
        <v>267</v>
      </c>
      <c r="I308" s="46" t="str">
        <f t="shared" si="31"/>
        <v>EPM_Practice_India_-_IntegrationSr. Integration Lead</v>
      </c>
      <c r="J308" s="40" t="s">
        <v>268</v>
      </c>
      <c r="K308" s="38" t="s">
        <v>946</v>
      </c>
      <c r="M308" s="19"/>
      <c r="N308" s="19"/>
      <c r="O308" s="19"/>
      <c r="P308" s="21"/>
      <c r="Q308" s="21"/>
      <c r="R308" s="133"/>
      <c r="BO308"/>
      <c r="BP308"/>
    </row>
    <row r="309" spans="1:68" x14ac:dyDescent="0.25">
      <c r="A309" s="19"/>
      <c r="B309" s="19"/>
      <c r="C309" s="19"/>
      <c r="D309" s="19"/>
      <c r="E309" s="19"/>
      <c r="F309" s="19"/>
      <c r="G309" s="38" t="s">
        <v>269</v>
      </c>
      <c r="H309" s="38" t="s">
        <v>270</v>
      </c>
      <c r="I309" s="46" t="str">
        <f t="shared" si="31"/>
        <v>EPM_Practice_India_-_PlanningSr. Application Lead - PLN</v>
      </c>
      <c r="J309" s="40" t="s">
        <v>271</v>
      </c>
      <c r="K309" s="38" t="s">
        <v>946</v>
      </c>
      <c r="M309" s="19"/>
      <c r="N309" s="19"/>
      <c r="O309" s="19"/>
      <c r="P309" s="21"/>
      <c r="Q309" s="21"/>
      <c r="R309" s="19"/>
      <c r="BO309"/>
      <c r="BP309"/>
    </row>
    <row r="310" spans="1:68" x14ac:dyDescent="0.25">
      <c r="A310" s="19"/>
      <c r="B310" s="19"/>
      <c r="C310" s="19"/>
      <c r="D310" s="19"/>
      <c r="E310" s="19"/>
      <c r="F310" s="19"/>
      <c r="G310" s="38" t="s">
        <v>269</v>
      </c>
      <c r="H310" s="38" t="s">
        <v>272</v>
      </c>
      <c r="I310" s="46" t="str">
        <f t="shared" si="31"/>
        <v>EPM_Practice_India_-_PlanningSr. Application Developer</v>
      </c>
      <c r="J310" s="40" t="s">
        <v>273</v>
      </c>
      <c r="K310" s="38" t="s">
        <v>946</v>
      </c>
      <c r="M310" s="19"/>
      <c r="N310" s="19"/>
      <c r="O310" s="19"/>
      <c r="P310" s="21"/>
      <c r="Q310" s="21"/>
      <c r="R310" s="19"/>
      <c r="BO310"/>
      <c r="BP310"/>
    </row>
    <row r="311" spans="1:68" x14ac:dyDescent="0.25">
      <c r="A311" s="19"/>
      <c r="B311" s="19"/>
      <c r="C311" s="19"/>
      <c r="D311" s="19"/>
      <c r="E311" s="19"/>
      <c r="F311" s="19"/>
      <c r="G311" s="38" t="s">
        <v>269</v>
      </c>
      <c r="H311" s="38" t="s">
        <v>274</v>
      </c>
      <c r="I311" s="46" t="str">
        <f t="shared" si="31"/>
        <v>EPM_Practice_India_-_PlanningSolution Architect - PLN</v>
      </c>
      <c r="J311" s="40" t="s">
        <v>275</v>
      </c>
      <c r="K311" s="38" t="s">
        <v>946</v>
      </c>
      <c r="M311" s="19"/>
      <c r="N311" s="19"/>
      <c r="O311" s="19"/>
      <c r="P311" s="21"/>
      <c r="Q311" s="21"/>
      <c r="R311" s="19"/>
      <c r="BO311"/>
      <c r="BP311"/>
    </row>
    <row r="312" spans="1:68" x14ac:dyDescent="0.25">
      <c r="A312" s="19"/>
      <c r="B312" s="19"/>
      <c r="C312" s="19"/>
      <c r="D312" s="19"/>
      <c r="E312" s="19"/>
      <c r="F312" s="19"/>
      <c r="G312" s="38" t="s">
        <v>269</v>
      </c>
      <c r="H312" s="38" t="s">
        <v>274</v>
      </c>
      <c r="I312" s="46" t="str">
        <f t="shared" si="31"/>
        <v>EPM_Practice_India_-_PlanningSolution Architect - PLN</v>
      </c>
      <c r="J312" s="40" t="s">
        <v>276</v>
      </c>
      <c r="K312" s="38" t="s">
        <v>946</v>
      </c>
      <c r="M312" s="19"/>
      <c r="N312" s="19"/>
      <c r="O312" s="19"/>
      <c r="P312" s="21"/>
      <c r="Q312" s="21"/>
      <c r="R312" s="19"/>
      <c r="BO312"/>
      <c r="BP312"/>
    </row>
    <row r="313" spans="1:68" x14ac:dyDescent="0.25">
      <c r="A313" s="19"/>
      <c r="B313" s="19"/>
      <c r="C313" s="19"/>
      <c r="D313" s="19"/>
      <c r="E313" s="19"/>
      <c r="F313" s="19"/>
      <c r="G313" s="38" t="s">
        <v>269</v>
      </c>
      <c r="H313" s="38" t="s">
        <v>274</v>
      </c>
      <c r="I313" s="46" t="str">
        <f t="shared" si="31"/>
        <v>EPM_Practice_India_-_PlanningSolution Architect - PLN</v>
      </c>
      <c r="J313" s="40" t="s">
        <v>277</v>
      </c>
      <c r="K313" s="38" t="s">
        <v>946</v>
      </c>
      <c r="M313" s="19"/>
      <c r="N313" s="19"/>
      <c r="O313" s="19"/>
      <c r="P313" s="21"/>
      <c r="Q313" s="21"/>
      <c r="R313" s="19"/>
      <c r="BO313"/>
      <c r="BP313"/>
    </row>
    <row r="314" spans="1:68" x14ac:dyDescent="0.25">
      <c r="A314" s="19"/>
      <c r="B314" s="19"/>
      <c r="C314" s="19"/>
      <c r="D314" s="19"/>
      <c r="E314" s="19"/>
      <c r="F314" s="19"/>
      <c r="G314" s="38" t="s">
        <v>269</v>
      </c>
      <c r="H314" s="38" t="s">
        <v>98</v>
      </c>
      <c r="I314" s="46" t="str">
        <f t="shared" si="31"/>
        <v>EPM_Practice_India_-_PlanningApplication Developer - PLN</v>
      </c>
      <c r="J314" s="40" t="s">
        <v>278</v>
      </c>
      <c r="K314" s="38" t="s">
        <v>946</v>
      </c>
      <c r="M314" s="19"/>
      <c r="N314" s="19"/>
      <c r="O314" s="19"/>
      <c r="P314" s="21"/>
      <c r="Q314" s="21"/>
      <c r="R314" s="19"/>
      <c r="BO314"/>
      <c r="BP314"/>
    </row>
    <row r="315" spans="1:68" x14ac:dyDescent="0.25">
      <c r="A315" s="19"/>
      <c r="B315" s="19"/>
      <c r="C315" s="19"/>
      <c r="D315" s="19"/>
      <c r="E315" s="19"/>
      <c r="F315" s="19"/>
      <c r="G315" s="38" t="s">
        <v>269</v>
      </c>
      <c r="H315" s="38" t="s">
        <v>270</v>
      </c>
      <c r="I315" s="46" t="str">
        <f t="shared" si="31"/>
        <v>EPM_Practice_India_-_PlanningSr. Application Lead - PLN</v>
      </c>
      <c r="J315" s="40" t="s">
        <v>279</v>
      </c>
      <c r="K315" s="38" t="s">
        <v>946</v>
      </c>
      <c r="M315" s="19"/>
      <c r="N315" s="19"/>
      <c r="O315" s="19"/>
      <c r="P315" s="21"/>
      <c r="Q315" s="21"/>
      <c r="R315" s="19"/>
      <c r="BO315"/>
      <c r="BP315"/>
    </row>
    <row r="316" spans="1:68" x14ac:dyDescent="0.25">
      <c r="A316" s="19"/>
      <c r="B316" s="19"/>
      <c r="C316" s="19"/>
      <c r="D316" s="19"/>
      <c r="E316" s="19"/>
      <c r="F316" s="19"/>
      <c r="G316" s="38" t="s">
        <v>269</v>
      </c>
      <c r="H316" s="38" t="s">
        <v>280</v>
      </c>
      <c r="I316" s="46" t="str">
        <f t="shared" si="31"/>
        <v>EPM_Practice_India_-_PlanningSr. Application Developer - PLN</v>
      </c>
      <c r="J316" s="40" t="s">
        <v>281</v>
      </c>
      <c r="K316" s="38" t="s">
        <v>946</v>
      </c>
      <c r="M316" s="19"/>
      <c r="N316" s="19"/>
      <c r="O316" s="19"/>
      <c r="P316" s="21"/>
      <c r="Q316" s="21"/>
      <c r="R316" s="19"/>
      <c r="BO316"/>
      <c r="BP316"/>
    </row>
    <row r="317" spans="1:68" x14ac:dyDescent="0.25">
      <c r="A317" s="19"/>
      <c r="B317" s="19"/>
      <c r="C317" s="19"/>
      <c r="D317" s="19"/>
      <c r="E317" s="19"/>
      <c r="F317" s="19"/>
      <c r="G317" s="38" t="s">
        <v>269</v>
      </c>
      <c r="H317" s="38" t="s">
        <v>241</v>
      </c>
      <c r="I317" s="46" t="str">
        <f t="shared" si="31"/>
        <v>EPM_Practice_India_-_PlanningSr. Solution Architect</v>
      </c>
      <c r="J317" s="40" t="s">
        <v>282</v>
      </c>
      <c r="K317" s="38" t="s">
        <v>946</v>
      </c>
      <c r="M317" s="19"/>
      <c r="N317" s="19"/>
      <c r="O317" s="19"/>
      <c r="P317" s="21"/>
      <c r="Q317" s="21"/>
      <c r="R317" s="19"/>
      <c r="BO317"/>
      <c r="BP317"/>
    </row>
    <row r="318" spans="1:68" x14ac:dyDescent="0.25">
      <c r="A318" s="19"/>
      <c r="B318" s="19"/>
      <c r="C318" s="19"/>
      <c r="D318" s="19"/>
      <c r="E318" s="19"/>
      <c r="F318" s="19"/>
      <c r="G318" s="38" t="s">
        <v>269</v>
      </c>
      <c r="H318" s="38" t="s">
        <v>98</v>
      </c>
      <c r="I318" s="46" t="str">
        <f t="shared" si="31"/>
        <v>EPM_Practice_India_-_PlanningApplication Developer - PLN</v>
      </c>
      <c r="J318" s="40" t="s">
        <v>283</v>
      </c>
      <c r="K318" s="38" t="s">
        <v>946</v>
      </c>
      <c r="M318" s="19"/>
      <c r="N318" s="19"/>
      <c r="O318" s="19"/>
      <c r="P318" s="21"/>
      <c r="Q318" s="21"/>
      <c r="R318" s="19"/>
      <c r="BO318"/>
      <c r="BP318"/>
    </row>
    <row r="319" spans="1:68" x14ac:dyDescent="0.25">
      <c r="A319" s="19"/>
      <c r="B319" s="19"/>
      <c r="C319" s="19"/>
      <c r="D319" s="19"/>
      <c r="E319" s="19"/>
      <c r="F319" s="19"/>
      <c r="G319" s="38" t="s">
        <v>269</v>
      </c>
      <c r="H319" s="38" t="s">
        <v>226</v>
      </c>
      <c r="I319" s="46" t="str">
        <f t="shared" si="31"/>
        <v>EPM_Practice_India_-_PlanningSoftware Engineer</v>
      </c>
      <c r="J319" s="40" t="s">
        <v>284</v>
      </c>
      <c r="K319" s="38" t="s">
        <v>946</v>
      </c>
      <c r="M319" s="19"/>
      <c r="N319" s="19"/>
      <c r="O319" s="19"/>
      <c r="P319" s="21"/>
      <c r="Q319" s="21"/>
      <c r="R319" s="19"/>
      <c r="BO319"/>
      <c r="BP319"/>
    </row>
    <row r="320" spans="1:68" x14ac:dyDescent="0.25">
      <c r="A320" s="19"/>
      <c r="B320" s="19"/>
      <c r="C320" s="19"/>
      <c r="D320" s="19"/>
      <c r="E320" s="19"/>
      <c r="F320" s="19"/>
      <c r="G320" s="38" t="s">
        <v>269</v>
      </c>
      <c r="H320" s="38" t="s">
        <v>226</v>
      </c>
      <c r="I320" s="46" t="str">
        <f t="shared" si="31"/>
        <v>EPM_Practice_India_-_PlanningSoftware Engineer</v>
      </c>
      <c r="J320" s="40" t="s">
        <v>285</v>
      </c>
      <c r="K320" s="38" t="s">
        <v>946</v>
      </c>
      <c r="M320" s="19"/>
      <c r="N320" s="19"/>
      <c r="O320" s="19"/>
      <c r="P320" s="21"/>
      <c r="Q320" s="21"/>
      <c r="R320" s="19"/>
      <c r="BO320"/>
      <c r="BP320"/>
    </row>
    <row r="321" spans="1:68" x14ac:dyDescent="0.25">
      <c r="A321" s="19"/>
      <c r="B321" s="19"/>
      <c r="C321" s="19"/>
      <c r="D321" s="19"/>
      <c r="E321" s="19"/>
      <c r="F321" s="19"/>
      <c r="G321" s="38" t="s">
        <v>269</v>
      </c>
      <c r="H321" s="38" t="s">
        <v>226</v>
      </c>
      <c r="I321" s="46" t="str">
        <f t="shared" si="31"/>
        <v>EPM_Practice_India_-_PlanningSoftware Engineer</v>
      </c>
      <c r="J321" s="40" t="s">
        <v>286</v>
      </c>
      <c r="K321" s="38" t="s">
        <v>946</v>
      </c>
      <c r="M321" s="19"/>
      <c r="N321" s="19"/>
      <c r="O321" s="19"/>
      <c r="P321" s="21"/>
      <c r="Q321" s="21"/>
      <c r="R321" s="19"/>
      <c r="BO321"/>
      <c r="BP321"/>
    </row>
    <row r="322" spans="1:68" x14ac:dyDescent="0.25">
      <c r="A322" s="19"/>
      <c r="B322" s="19"/>
      <c r="C322" s="19"/>
      <c r="D322" s="19"/>
      <c r="E322" s="19"/>
      <c r="F322" s="19"/>
      <c r="G322" s="38" t="s">
        <v>269</v>
      </c>
      <c r="H322" s="38" t="s">
        <v>226</v>
      </c>
      <c r="I322" s="46" t="str">
        <f t="shared" si="31"/>
        <v>EPM_Practice_India_-_PlanningSoftware Engineer</v>
      </c>
      <c r="J322" s="40" t="s">
        <v>287</v>
      </c>
      <c r="K322" s="38" t="s">
        <v>946</v>
      </c>
      <c r="M322" s="19"/>
      <c r="N322" s="19"/>
      <c r="O322" s="19"/>
      <c r="P322" s="21"/>
      <c r="Q322" s="21"/>
      <c r="R322" s="19"/>
      <c r="BO322"/>
      <c r="BP322"/>
    </row>
    <row r="323" spans="1:68" x14ac:dyDescent="0.25">
      <c r="A323" s="19"/>
      <c r="B323" s="19"/>
      <c r="C323" s="19"/>
      <c r="D323" s="19"/>
      <c r="E323" s="19"/>
      <c r="F323" s="19"/>
      <c r="G323" s="38" t="s">
        <v>269</v>
      </c>
      <c r="H323" s="38" t="s">
        <v>226</v>
      </c>
      <c r="I323" s="46" t="str">
        <f t="shared" si="31"/>
        <v>EPM_Practice_India_-_PlanningSoftware Engineer</v>
      </c>
      <c r="J323" s="40" t="s">
        <v>288</v>
      </c>
      <c r="K323" s="38" t="s">
        <v>946</v>
      </c>
      <c r="M323" s="19"/>
      <c r="N323" s="19"/>
      <c r="O323" s="19"/>
      <c r="P323" s="21"/>
      <c r="Q323" s="21"/>
      <c r="R323" s="19"/>
      <c r="BO323"/>
      <c r="BP323"/>
    </row>
    <row r="324" spans="1:68" x14ac:dyDescent="0.25">
      <c r="A324" s="19"/>
      <c r="B324" s="19"/>
      <c r="C324" s="19"/>
      <c r="D324" s="19"/>
      <c r="E324" s="19"/>
      <c r="F324" s="19"/>
      <c r="G324" s="38" t="s">
        <v>269</v>
      </c>
      <c r="H324" s="38" t="s">
        <v>226</v>
      </c>
      <c r="I324" s="46" t="str">
        <f t="shared" si="31"/>
        <v>EPM_Practice_India_-_PlanningSoftware Engineer</v>
      </c>
      <c r="J324" s="40" t="s">
        <v>289</v>
      </c>
      <c r="K324" s="38" t="s">
        <v>946</v>
      </c>
      <c r="M324" s="19"/>
      <c r="N324" s="19"/>
      <c r="O324" s="19"/>
      <c r="P324" s="21"/>
      <c r="Q324" s="21"/>
      <c r="R324" s="19"/>
      <c r="BO324"/>
      <c r="BP324"/>
    </row>
    <row r="325" spans="1:68" x14ac:dyDescent="0.25">
      <c r="A325" s="19"/>
      <c r="B325" s="19"/>
      <c r="C325" s="19"/>
      <c r="D325" s="19"/>
      <c r="E325" s="19"/>
      <c r="F325" s="19"/>
      <c r="G325" s="38" t="s">
        <v>269</v>
      </c>
      <c r="H325" s="38" t="s">
        <v>226</v>
      </c>
      <c r="I325" s="46" t="str">
        <f t="shared" si="31"/>
        <v>EPM_Practice_India_-_PlanningSoftware Engineer</v>
      </c>
      <c r="J325" s="40" t="s">
        <v>290</v>
      </c>
      <c r="K325" s="38" t="s">
        <v>946</v>
      </c>
      <c r="M325" s="19"/>
      <c r="N325" s="19"/>
      <c r="O325" s="19"/>
      <c r="P325" s="21"/>
      <c r="Q325" s="21"/>
      <c r="R325" s="19"/>
      <c r="BO325"/>
      <c r="BP325"/>
    </row>
    <row r="326" spans="1:68" x14ac:dyDescent="0.25">
      <c r="A326" s="19"/>
      <c r="B326" s="19"/>
      <c r="C326" s="19"/>
      <c r="D326" s="19"/>
      <c r="E326" s="19"/>
      <c r="F326" s="19"/>
      <c r="G326" s="38" t="s">
        <v>269</v>
      </c>
      <c r="H326" s="38" t="s">
        <v>291</v>
      </c>
      <c r="I326" s="46" t="str">
        <f t="shared" si="31"/>
        <v>EPM_Practice_India_-_PlanningApplication Lead - PLN</v>
      </c>
      <c r="J326" s="40" t="s">
        <v>292</v>
      </c>
      <c r="K326" s="38" t="s">
        <v>946</v>
      </c>
      <c r="M326" s="19"/>
      <c r="N326" s="19"/>
      <c r="O326" s="19"/>
      <c r="P326" s="21"/>
      <c r="Q326" s="21"/>
      <c r="R326" s="19"/>
      <c r="BO326"/>
      <c r="BP326"/>
    </row>
    <row r="327" spans="1:68" x14ac:dyDescent="0.25">
      <c r="A327" s="19"/>
      <c r="B327" s="19"/>
      <c r="C327" s="19"/>
      <c r="D327" s="19"/>
      <c r="E327" s="19"/>
      <c r="F327" s="19"/>
      <c r="G327" s="38" t="s">
        <v>269</v>
      </c>
      <c r="H327" s="38" t="s">
        <v>291</v>
      </c>
      <c r="I327" s="46" t="str">
        <f t="shared" si="31"/>
        <v>EPM_Practice_India_-_PlanningApplication Lead - PLN</v>
      </c>
      <c r="J327" s="40" t="s">
        <v>293</v>
      </c>
      <c r="K327" s="38" t="s">
        <v>946</v>
      </c>
      <c r="M327" s="19"/>
      <c r="N327" s="19"/>
      <c r="O327" s="19"/>
      <c r="P327" s="21"/>
      <c r="Q327" s="21"/>
      <c r="R327" s="19"/>
      <c r="BO327"/>
      <c r="BP327"/>
    </row>
    <row r="328" spans="1:68" x14ac:dyDescent="0.25">
      <c r="A328" s="19"/>
      <c r="B328" s="19"/>
      <c r="C328" s="19"/>
      <c r="D328" s="19"/>
      <c r="E328" s="19"/>
      <c r="F328" s="19"/>
      <c r="G328" s="38" t="s">
        <v>269</v>
      </c>
      <c r="H328" s="38" t="s">
        <v>294</v>
      </c>
      <c r="I328" s="46" t="str">
        <f t="shared" si="31"/>
        <v>EPM_Practice_India_-_PlanningSr. Solution Architect - PLN</v>
      </c>
      <c r="J328" s="40" t="s">
        <v>295</v>
      </c>
      <c r="K328" s="38" t="s">
        <v>946</v>
      </c>
      <c r="M328" s="19"/>
      <c r="N328" s="19"/>
      <c r="O328" s="19"/>
      <c r="P328" s="21"/>
      <c r="Q328" s="21"/>
      <c r="R328" s="19"/>
      <c r="BO328"/>
      <c r="BP328"/>
    </row>
    <row r="329" spans="1:68" x14ac:dyDescent="0.25">
      <c r="A329" s="19"/>
      <c r="B329" s="19"/>
      <c r="C329" s="19"/>
      <c r="D329" s="19"/>
      <c r="E329" s="19"/>
      <c r="F329" s="19"/>
      <c r="G329" s="38" t="s">
        <v>269</v>
      </c>
      <c r="H329" s="38" t="s">
        <v>98</v>
      </c>
      <c r="I329" s="46" t="str">
        <f t="shared" si="31"/>
        <v>EPM_Practice_India_-_PlanningApplication Developer - PLN</v>
      </c>
      <c r="J329" s="40" t="s">
        <v>296</v>
      </c>
      <c r="K329" s="38" t="s">
        <v>946</v>
      </c>
      <c r="M329" s="19"/>
      <c r="N329" s="19"/>
      <c r="O329" s="19"/>
      <c r="P329" s="21"/>
      <c r="Q329" s="21"/>
      <c r="R329" s="19"/>
      <c r="BO329"/>
      <c r="BP329"/>
    </row>
    <row r="330" spans="1:68" x14ac:dyDescent="0.25">
      <c r="A330" s="19"/>
      <c r="B330" s="19"/>
      <c r="C330" s="19"/>
      <c r="D330" s="19"/>
      <c r="E330" s="19"/>
      <c r="F330" s="19"/>
      <c r="G330" s="38" t="s">
        <v>269</v>
      </c>
      <c r="H330" s="38" t="s">
        <v>230</v>
      </c>
      <c r="I330" s="46" t="str">
        <f t="shared" si="31"/>
        <v>EPM_Practice_India_-_PlanningSr. Software Engineer</v>
      </c>
      <c r="J330" s="40" t="s">
        <v>297</v>
      </c>
      <c r="K330" s="38" t="s">
        <v>946</v>
      </c>
      <c r="BO330"/>
      <c r="BP330"/>
    </row>
    <row r="331" spans="1:68" x14ac:dyDescent="0.25">
      <c r="A331" s="19"/>
      <c r="B331" s="19"/>
      <c r="C331" s="19"/>
      <c r="D331" s="19"/>
      <c r="E331" s="19"/>
      <c r="F331" s="19"/>
      <c r="G331" s="38" t="s">
        <v>269</v>
      </c>
      <c r="H331" s="38" t="s">
        <v>280</v>
      </c>
      <c r="I331" s="46" t="str">
        <f t="shared" si="31"/>
        <v>EPM_Practice_India_-_PlanningSr. Application Developer - PLN</v>
      </c>
      <c r="J331" s="40" t="s">
        <v>298</v>
      </c>
      <c r="K331" s="38" t="s">
        <v>946</v>
      </c>
      <c r="BO331"/>
      <c r="BP331"/>
    </row>
    <row r="332" spans="1:68" x14ac:dyDescent="0.25">
      <c r="A332" s="19"/>
      <c r="B332" s="19"/>
      <c r="C332" s="19"/>
      <c r="D332" s="19"/>
      <c r="E332" s="19"/>
      <c r="F332" s="19"/>
      <c r="G332" s="38" t="s">
        <v>269</v>
      </c>
      <c r="H332" s="38" t="s">
        <v>274</v>
      </c>
      <c r="I332" s="46" t="str">
        <f t="shared" si="31"/>
        <v>EPM_Practice_India_-_PlanningSolution Architect - PLN</v>
      </c>
      <c r="J332" s="40" t="s">
        <v>299</v>
      </c>
      <c r="K332" s="38" t="s">
        <v>946</v>
      </c>
      <c r="BO332"/>
      <c r="BP332"/>
    </row>
    <row r="333" spans="1:68" x14ac:dyDescent="0.25">
      <c r="A333" s="19"/>
      <c r="B333" s="19"/>
      <c r="C333" s="19"/>
      <c r="D333" s="19"/>
      <c r="E333" s="19"/>
      <c r="F333" s="19"/>
      <c r="G333" s="38" t="s">
        <v>94</v>
      </c>
      <c r="H333" s="38" t="s">
        <v>216</v>
      </c>
      <c r="I333" s="46" t="str">
        <f t="shared" si="31"/>
        <v>EPM_Practice_USAApplication Developer</v>
      </c>
      <c r="J333" s="40" t="s">
        <v>300</v>
      </c>
      <c r="K333" s="38" t="s">
        <v>776</v>
      </c>
      <c r="BO333"/>
      <c r="BP333"/>
    </row>
    <row r="334" spans="1:68" x14ac:dyDescent="0.25">
      <c r="A334" s="19"/>
      <c r="B334" s="19"/>
      <c r="C334" s="19"/>
      <c r="D334" s="19"/>
      <c r="E334" s="19"/>
      <c r="F334" s="19"/>
      <c r="G334" s="38" t="s">
        <v>94</v>
      </c>
      <c r="H334" s="38" t="s">
        <v>301</v>
      </c>
      <c r="I334" s="46" t="str">
        <f t="shared" si="31"/>
        <v>EPM_Practice_USAPrincipal Architect</v>
      </c>
      <c r="J334" s="40" t="s">
        <v>302</v>
      </c>
      <c r="K334" s="38" t="s">
        <v>776</v>
      </c>
      <c r="BO334"/>
      <c r="BP334"/>
    </row>
    <row r="335" spans="1:68" x14ac:dyDescent="0.25">
      <c r="A335" s="19"/>
      <c r="B335" s="19"/>
      <c r="C335" s="19"/>
      <c r="D335" s="19"/>
      <c r="E335" s="19"/>
      <c r="F335" s="19"/>
      <c r="G335" s="38" t="s">
        <v>94</v>
      </c>
      <c r="H335" s="38" t="s">
        <v>241</v>
      </c>
      <c r="I335" s="46" t="str">
        <f t="shared" si="31"/>
        <v>EPM_Practice_USASr. Solution Architect</v>
      </c>
      <c r="J335" s="40" t="s">
        <v>303</v>
      </c>
      <c r="K335" s="38" t="s">
        <v>776</v>
      </c>
      <c r="BO335"/>
      <c r="BP335"/>
    </row>
    <row r="336" spans="1:68" x14ac:dyDescent="0.25">
      <c r="A336" s="19"/>
      <c r="B336" s="19"/>
      <c r="C336" s="19"/>
      <c r="D336" s="19"/>
      <c r="E336" s="19"/>
      <c r="F336" s="19"/>
      <c r="G336" s="38" t="s">
        <v>94</v>
      </c>
      <c r="H336" s="38" t="s">
        <v>301</v>
      </c>
      <c r="I336" s="46" t="str">
        <f t="shared" si="31"/>
        <v>EPM_Practice_USAPrincipal Architect</v>
      </c>
      <c r="J336" s="40" t="s">
        <v>304</v>
      </c>
      <c r="K336" s="38" t="s">
        <v>776</v>
      </c>
      <c r="BO336"/>
      <c r="BP336"/>
    </row>
    <row r="337" spans="1:68" x14ac:dyDescent="0.25">
      <c r="A337" s="19"/>
      <c r="B337" s="19"/>
      <c r="C337" s="19"/>
      <c r="D337" s="19"/>
      <c r="E337" s="19"/>
      <c r="F337" s="19"/>
      <c r="G337" s="38" t="s">
        <v>94</v>
      </c>
      <c r="H337" s="38" t="s">
        <v>305</v>
      </c>
      <c r="I337" s="46" t="str">
        <f t="shared" si="31"/>
        <v>EPM_Practice_USAFunctional Lead</v>
      </c>
      <c r="J337" s="40" t="s">
        <v>306</v>
      </c>
      <c r="K337" s="38" t="s">
        <v>776</v>
      </c>
      <c r="BO337"/>
      <c r="BP337"/>
    </row>
    <row r="338" spans="1:68" x14ac:dyDescent="0.25">
      <c r="A338" s="19"/>
      <c r="B338" s="19"/>
      <c r="C338" s="19"/>
      <c r="D338" s="19"/>
      <c r="E338" s="19"/>
      <c r="F338" s="19"/>
      <c r="G338" s="38" t="s">
        <v>94</v>
      </c>
      <c r="H338" s="38" t="s">
        <v>307</v>
      </c>
      <c r="I338" s="46" t="str">
        <f t="shared" si="31"/>
        <v>EPM_Practice_USAApplication Lead</v>
      </c>
      <c r="J338" s="40" t="s">
        <v>308</v>
      </c>
      <c r="K338" s="38" t="s">
        <v>776</v>
      </c>
      <c r="BO338"/>
      <c r="BP338"/>
    </row>
    <row r="339" spans="1:68" x14ac:dyDescent="0.25">
      <c r="A339" s="19"/>
      <c r="B339" s="19"/>
      <c r="C339" s="19"/>
      <c r="D339" s="19"/>
      <c r="E339" s="19"/>
      <c r="F339" s="19"/>
      <c r="G339" s="38" t="s">
        <v>94</v>
      </c>
      <c r="H339" s="38" t="s">
        <v>309</v>
      </c>
      <c r="I339" s="46" t="str">
        <f t="shared" si="31"/>
        <v>EPM_Practice_USASolution Architect - FCC</v>
      </c>
      <c r="J339" s="40" t="s">
        <v>310</v>
      </c>
      <c r="K339" s="38" t="s">
        <v>776</v>
      </c>
      <c r="BO339"/>
      <c r="BP339"/>
    </row>
    <row r="340" spans="1:68" x14ac:dyDescent="0.25">
      <c r="A340" s="19"/>
      <c r="B340" s="19"/>
      <c r="C340" s="19"/>
      <c r="D340" s="19"/>
      <c r="E340" s="19"/>
      <c r="F340" s="19"/>
      <c r="G340" s="38" t="s">
        <v>311</v>
      </c>
      <c r="H340" s="38" t="s">
        <v>309</v>
      </c>
      <c r="I340" s="46" t="str">
        <f t="shared" si="31"/>
        <v>EPM_Practice_USA_-_ConsolidationSolution Architect - FCC</v>
      </c>
      <c r="J340" s="40" t="s">
        <v>312</v>
      </c>
      <c r="K340" s="38" t="s">
        <v>776</v>
      </c>
      <c r="BO340"/>
      <c r="BP340"/>
    </row>
    <row r="341" spans="1:68" x14ac:dyDescent="0.25">
      <c r="A341" s="19"/>
      <c r="B341" s="19"/>
      <c r="C341" s="19"/>
      <c r="D341" s="19"/>
      <c r="E341" s="19"/>
      <c r="F341" s="19"/>
      <c r="G341" s="38" t="s">
        <v>311</v>
      </c>
      <c r="H341" s="38" t="s">
        <v>313</v>
      </c>
      <c r="I341" s="46" t="str">
        <f t="shared" si="31"/>
        <v>EPM_Practice_USA_-_ConsolidationSolution Architect</v>
      </c>
      <c r="J341" s="40" t="s">
        <v>314</v>
      </c>
      <c r="K341" s="38" t="s">
        <v>776</v>
      </c>
      <c r="BO341"/>
      <c r="BP341"/>
    </row>
    <row r="342" spans="1:68" x14ac:dyDescent="0.25">
      <c r="A342" s="19"/>
      <c r="B342" s="19"/>
      <c r="C342" s="19"/>
      <c r="D342" s="19"/>
      <c r="E342" s="19"/>
      <c r="F342" s="19"/>
      <c r="G342" s="38" t="s">
        <v>311</v>
      </c>
      <c r="H342" s="38" t="s">
        <v>301</v>
      </c>
      <c r="I342" s="46" t="str">
        <f t="shared" si="31"/>
        <v>EPM_Practice_USA_-_ConsolidationPrincipal Architect</v>
      </c>
      <c r="J342" s="40" t="s">
        <v>315</v>
      </c>
      <c r="K342" s="38" t="s">
        <v>776</v>
      </c>
      <c r="BO342"/>
      <c r="BP342"/>
    </row>
    <row r="343" spans="1:68" x14ac:dyDescent="0.25">
      <c r="A343" s="19"/>
      <c r="B343" s="19"/>
      <c r="C343" s="19"/>
      <c r="D343" s="19"/>
      <c r="E343" s="19"/>
      <c r="F343" s="19"/>
      <c r="G343" s="38" t="s">
        <v>311</v>
      </c>
      <c r="H343" s="38" t="s">
        <v>307</v>
      </c>
      <c r="I343" s="46" t="str">
        <f t="shared" si="31"/>
        <v>EPM_Practice_USA_-_ConsolidationApplication Lead</v>
      </c>
      <c r="J343" s="40" t="s">
        <v>316</v>
      </c>
      <c r="K343" s="38" t="s">
        <v>776</v>
      </c>
      <c r="BO343"/>
      <c r="BP343"/>
    </row>
    <row r="344" spans="1:68" x14ac:dyDescent="0.25">
      <c r="A344" s="19"/>
      <c r="B344" s="19"/>
      <c r="C344" s="19"/>
      <c r="D344" s="19"/>
      <c r="E344" s="19"/>
      <c r="F344" s="19"/>
      <c r="G344" s="38" t="s">
        <v>317</v>
      </c>
      <c r="H344" s="38" t="s">
        <v>241</v>
      </c>
      <c r="I344" s="46" t="str">
        <f t="shared" si="31"/>
        <v>EPM_Practice_USA_-_IntegrationSr. Solution Architect</v>
      </c>
      <c r="J344" s="40" t="s">
        <v>318</v>
      </c>
      <c r="K344" s="38" t="s">
        <v>776</v>
      </c>
      <c r="BO344"/>
      <c r="BP344"/>
    </row>
    <row r="345" spans="1:68" x14ac:dyDescent="0.25">
      <c r="A345" s="19"/>
      <c r="B345" s="19"/>
      <c r="C345" s="19"/>
      <c r="D345" s="19"/>
      <c r="E345" s="19"/>
      <c r="F345" s="19"/>
      <c r="G345" s="38" t="s">
        <v>317</v>
      </c>
      <c r="H345" s="38" t="s">
        <v>246</v>
      </c>
      <c r="I345" s="46" t="str">
        <f t="shared" si="31"/>
        <v>EPM_Practice_USA_-_IntegrationSolution Architect - DI</v>
      </c>
      <c r="J345" s="40" t="s">
        <v>319</v>
      </c>
      <c r="K345" s="38" t="s">
        <v>776</v>
      </c>
      <c r="BO345"/>
      <c r="BP345"/>
    </row>
    <row r="346" spans="1:68" x14ac:dyDescent="0.25">
      <c r="A346" s="19"/>
      <c r="B346" s="19"/>
      <c r="C346" s="19"/>
      <c r="D346" s="19"/>
      <c r="E346" s="19"/>
      <c r="F346" s="19"/>
      <c r="G346" s="38" t="s">
        <v>317</v>
      </c>
      <c r="H346" s="38" t="s">
        <v>320</v>
      </c>
      <c r="I346" s="46" t="str">
        <f t="shared" si="31"/>
        <v>EPM_Practice_USA_-_IntegrationSr. Application Support Lead</v>
      </c>
      <c r="J346" s="40" t="s">
        <v>321</v>
      </c>
      <c r="K346" s="38" t="s">
        <v>776</v>
      </c>
      <c r="BO346"/>
      <c r="BP346"/>
    </row>
    <row r="347" spans="1:68" x14ac:dyDescent="0.25">
      <c r="A347" s="19"/>
      <c r="B347" s="19"/>
      <c r="C347" s="19"/>
      <c r="D347" s="19"/>
      <c r="E347" s="19"/>
      <c r="F347" s="19"/>
      <c r="G347" s="38" t="s">
        <v>317</v>
      </c>
      <c r="H347" s="38" t="s">
        <v>246</v>
      </c>
      <c r="I347" s="46" t="str">
        <f t="shared" si="31"/>
        <v>EPM_Practice_USA_-_IntegrationSolution Architect - DI</v>
      </c>
      <c r="J347" s="40" t="s">
        <v>322</v>
      </c>
      <c r="K347" s="38" t="s">
        <v>776</v>
      </c>
      <c r="BO347"/>
      <c r="BP347"/>
    </row>
    <row r="348" spans="1:68" x14ac:dyDescent="0.25">
      <c r="A348" s="19"/>
      <c r="B348" s="19"/>
      <c r="C348" s="19"/>
      <c r="D348" s="19"/>
      <c r="E348" s="19"/>
      <c r="F348" s="19"/>
      <c r="G348" s="38" t="s">
        <v>317</v>
      </c>
      <c r="H348" s="38" t="s">
        <v>307</v>
      </c>
      <c r="I348" s="46" t="str">
        <f t="shared" si="31"/>
        <v>EPM_Practice_USA_-_IntegrationApplication Lead</v>
      </c>
      <c r="J348" s="40" t="s">
        <v>323</v>
      </c>
      <c r="K348" s="38" t="s">
        <v>776</v>
      </c>
      <c r="BO348"/>
      <c r="BP348"/>
    </row>
    <row r="349" spans="1:68" x14ac:dyDescent="0.25">
      <c r="A349" s="19"/>
      <c r="B349" s="19"/>
      <c r="C349" s="19"/>
      <c r="D349" s="19"/>
      <c r="E349" s="19"/>
      <c r="F349" s="19"/>
      <c r="G349" s="38" t="s">
        <v>317</v>
      </c>
      <c r="H349" s="38" t="s">
        <v>241</v>
      </c>
      <c r="I349" s="46" t="str">
        <f t="shared" si="31"/>
        <v>EPM_Practice_USA_-_IntegrationSr. Solution Architect</v>
      </c>
      <c r="J349" s="40" t="s">
        <v>324</v>
      </c>
      <c r="K349" s="38" t="s">
        <v>776</v>
      </c>
      <c r="BO349"/>
      <c r="BP349"/>
    </row>
    <row r="350" spans="1:68" x14ac:dyDescent="0.25">
      <c r="A350" s="19"/>
      <c r="B350" s="19"/>
      <c r="C350" s="19"/>
      <c r="D350" s="19"/>
      <c r="E350" s="19"/>
      <c r="F350" s="19"/>
      <c r="G350" s="38" t="s">
        <v>325</v>
      </c>
      <c r="H350" s="38" t="s">
        <v>320</v>
      </c>
      <c r="I350" s="46" t="str">
        <f t="shared" si="31"/>
        <v>EPM_Practice_USA_-_Managed_ServicesSr. Application Support Lead</v>
      </c>
      <c r="J350" s="40" t="s">
        <v>326</v>
      </c>
      <c r="K350" s="38" t="s">
        <v>776</v>
      </c>
      <c r="BO350"/>
      <c r="BP350"/>
    </row>
    <row r="351" spans="1:68" x14ac:dyDescent="0.25">
      <c r="A351" s="19"/>
      <c r="B351" s="19"/>
      <c r="C351" s="19"/>
      <c r="D351" s="19"/>
      <c r="E351" s="19"/>
      <c r="F351" s="19"/>
      <c r="G351" s="38" t="s">
        <v>325</v>
      </c>
      <c r="H351" s="38" t="s">
        <v>272</v>
      </c>
      <c r="I351" s="46" t="str">
        <f t="shared" si="31"/>
        <v>EPM_Practice_USA_-_Managed_ServicesSr. Application Developer</v>
      </c>
      <c r="J351" s="40" t="s">
        <v>327</v>
      </c>
      <c r="K351" s="38" t="s">
        <v>776</v>
      </c>
      <c r="BP351"/>
    </row>
    <row r="352" spans="1:68" x14ac:dyDescent="0.25">
      <c r="A352" s="19"/>
      <c r="B352" s="19"/>
      <c r="C352" s="19"/>
      <c r="D352" s="19"/>
      <c r="E352" s="19"/>
      <c r="F352" s="19"/>
      <c r="G352" s="38" t="s">
        <v>325</v>
      </c>
      <c r="H352" s="38" t="s">
        <v>328</v>
      </c>
      <c r="I352" s="46" t="str">
        <f t="shared" ref="I352:I415" si="32">_xlfn.CONCAT(G352,H352)</f>
        <v>EPM_Practice_USA_-_Managed_ServicesApplication Support Lead - FCC</v>
      </c>
      <c r="J352" s="40" t="s">
        <v>329</v>
      </c>
      <c r="K352" s="38" t="s">
        <v>776</v>
      </c>
      <c r="BP352"/>
    </row>
    <row r="353" spans="1:68" x14ac:dyDescent="0.25">
      <c r="A353" s="19"/>
      <c r="B353" s="19"/>
      <c r="C353" s="19"/>
      <c r="D353" s="19"/>
      <c r="E353" s="19"/>
      <c r="F353" s="19"/>
      <c r="G353" s="38" t="s">
        <v>325</v>
      </c>
      <c r="H353" s="38" t="s">
        <v>270</v>
      </c>
      <c r="I353" s="46" t="str">
        <f t="shared" si="32"/>
        <v>EPM_Practice_USA_-_Managed_ServicesSr. Application Lead - PLN</v>
      </c>
      <c r="J353" s="40" t="s">
        <v>330</v>
      </c>
      <c r="K353" s="38" t="s">
        <v>776</v>
      </c>
      <c r="BP353"/>
    </row>
    <row r="354" spans="1:68" x14ac:dyDescent="0.25">
      <c r="A354" s="19"/>
      <c r="B354" s="19"/>
      <c r="C354" s="19"/>
      <c r="D354" s="19"/>
      <c r="E354" s="19"/>
      <c r="F354" s="19"/>
      <c r="G354" s="38" t="s">
        <v>325</v>
      </c>
      <c r="H354" s="38" t="s">
        <v>331</v>
      </c>
      <c r="I354" s="46" t="str">
        <f t="shared" si="32"/>
        <v>EPM_Practice_USA_-_Managed_ServicesSr. Application Support Lead - FCC</v>
      </c>
      <c r="J354" s="40" t="s">
        <v>332</v>
      </c>
      <c r="K354" s="38" t="s">
        <v>776</v>
      </c>
      <c r="BP354"/>
    </row>
    <row r="355" spans="1:68" x14ac:dyDescent="0.25">
      <c r="A355" s="19"/>
      <c r="B355" s="19"/>
      <c r="C355" s="19"/>
      <c r="D355" s="19"/>
      <c r="E355" s="19"/>
      <c r="F355" s="19"/>
      <c r="G355" s="38" t="s">
        <v>325</v>
      </c>
      <c r="H355" s="38" t="s">
        <v>221</v>
      </c>
      <c r="I355" s="46" t="str">
        <f t="shared" si="32"/>
        <v>EPM_Practice_USA_-_Managed_ServicesSr. Application Lead - FCC</v>
      </c>
      <c r="J355" s="40" t="s">
        <v>333</v>
      </c>
      <c r="K355" s="38" t="s">
        <v>776</v>
      </c>
      <c r="BP355"/>
    </row>
    <row r="356" spans="1:68" x14ac:dyDescent="0.25">
      <c r="A356" s="19"/>
      <c r="B356" s="19"/>
      <c r="C356" s="19"/>
      <c r="D356" s="19"/>
      <c r="E356" s="19"/>
      <c r="F356" s="19"/>
      <c r="G356" s="38" t="s">
        <v>97</v>
      </c>
      <c r="H356" s="38" t="s">
        <v>274</v>
      </c>
      <c r="I356" s="46" t="str">
        <f t="shared" si="32"/>
        <v>EPM_Practice_USA_-_PlanningSolution Architect - PLN</v>
      </c>
      <c r="J356" s="40" t="s">
        <v>334</v>
      </c>
      <c r="K356" s="38" t="s">
        <v>776</v>
      </c>
      <c r="BP356"/>
    </row>
    <row r="357" spans="1:68" x14ac:dyDescent="0.25">
      <c r="A357" s="19"/>
      <c r="B357" s="19"/>
      <c r="C357" s="19"/>
      <c r="D357" s="19"/>
      <c r="E357" s="19"/>
      <c r="F357" s="19"/>
      <c r="G357" s="38" t="s">
        <v>97</v>
      </c>
      <c r="H357" s="38" t="s">
        <v>301</v>
      </c>
      <c r="I357" s="46" t="str">
        <f t="shared" si="32"/>
        <v>EPM_Practice_USA_-_PlanningPrincipal Architect</v>
      </c>
      <c r="J357" s="40" t="s">
        <v>335</v>
      </c>
      <c r="K357" s="38" t="s">
        <v>776</v>
      </c>
      <c r="BP357"/>
    </row>
    <row r="358" spans="1:68" x14ac:dyDescent="0.25">
      <c r="A358" s="19"/>
      <c r="B358" s="19"/>
      <c r="C358" s="19"/>
      <c r="D358" s="19"/>
      <c r="E358" s="19"/>
      <c r="F358" s="19"/>
      <c r="G358" s="38" t="s">
        <v>97</v>
      </c>
      <c r="H358" s="38" t="s">
        <v>301</v>
      </c>
      <c r="I358" s="46" t="str">
        <f t="shared" si="32"/>
        <v>EPM_Practice_USA_-_PlanningPrincipal Architect</v>
      </c>
      <c r="J358" s="40" t="s">
        <v>336</v>
      </c>
      <c r="K358" s="38" t="s">
        <v>776</v>
      </c>
      <c r="BP358"/>
    </row>
    <row r="359" spans="1:68" x14ac:dyDescent="0.25">
      <c r="A359" s="19"/>
      <c r="B359" s="19"/>
      <c r="C359" s="19"/>
      <c r="D359" s="19"/>
      <c r="E359" s="19"/>
      <c r="F359" s="19"/>
      <c r="G359" s="38" t="s">
        <v>97</v>
      </c>
      <c r="H359" s="38" t="s">
        <v>337</v>
      </c>
      <c r="I359" s="46" t="str">
        <f t="shared" si="32"/>
        <v>EPM_Practice_USA_-_PlanningApplication Support Lead - EPB</v>
      </c>
      <c r="J359" s="40" t="s">
        <v>338</v>
      </c>
      <c r="K359" s="38" t="s">
        <v>776</v>
      </c>
      <c r="BP359"/>
    </row>
    <row r="360" spans="1:68" x14ac:dyDescent="0.25">
      <c r="A360" s="19"/>
      <c r="B360" s="19"/>
      <c r="C360" s="19"/>
      <c r="D360" s="19"/>
      <c r="E360" s="19"/>
      <c r="F360" s="19"/>
      <c r="G360" s="38" t="s">
        <v>97</v>
      </c>
      <c r="H360" s="38" t="s">
        <v>272</v>
      </c>
      <c r="I360" s="46" t="str">
        <f t="shared" si="32"/>
        <v>EPM_Practice_USA_-_PlanningSr. Application Developer</v>
      </c>
      <c r="J360" s="40" t="s">
        <v>339</v>
      </c>
      <c r="K360" s="38" t="s">
        <v>776</v>
      </c>
      <c r="BP360"/>
    </row>
    <row r="361" spans="1:68" x14ac:dyDescent="0.25">
      <c r="A361" s="19"/>
      <c r="B361" s="19"/>
      <c r="C361" s="19"/>
      <c r="D361" s="19"/>
      <c r="E361" s="19"/>
      <c r="F361" s="19"/>
      <c r="G361" s="38" t="s">
        <v>97</v>
      </c>
      <c r="H361" s="38" t="s">
        <v>254</v>
      </c>
      <c r="I361" s="46" t="str">
        <f t="shared" si="32"/>
        <v>EPM_Practice_USA_-_PlanningIntegration Lead</v>
      </c>
      <c r="J361" s="40" t="s">
        <v>340</v>
      </c>
      <c r="K361" s="38" t="s">
        <v>776</v>
      </c>
      <c r="BP361"/>
    </row>
    <row r="362" spans="1:68" x14ac:dyDescent="0.25">
      <c r="A362" s="19"/>
      <c r="B362" s="19"/>
      <c r="C362" s="19"/>
      <c r="D362" s="19"/>
      <c r="E362" s="19"/>
      <c r="F362" s="19"/>
      <c r="G362" s="38" t="s">
        <v>97</v>
      </c>
      <c r="H362" s="38" t="s">
        <v>280</v>
      </c>
      <c r="I362" s="46" t="str">
        <f t="shared" si="32"/>
        <v>EPM_Practice_USA_-_PlanningSr. Application Developer - PLN</v>
      </c>
      <c r="J362" s="40" t="s">
        <v>341</v>
      </c>
      <c r="K362" s="38" t="s">
        <v>776</v>
      </c>
      <c r="BP362"/>
    </row>
    <row r="363" spans="1:68" x14ac:dyDescent="0.25">
      <c r="A363" s="19"/>
      <c r="B363" s="19"/>
      <c r="C363" s="19"/>
      <c r="D363" s="19"/>
      <c r="E363" s="19"/>
      <c r="F363" s="19"/>
      <c r="G363" s="38" t="s">
        <v>97</v>
      </c>
      <c r="H363" s="38" t="s">
        <v>291</v>
      </c>
      <c r="I363" s="46" t="str">
        <f t="shared" si="32"/>
        <v>EPM_Practice_USA_-_PlanningApplication Lead - PLN</v>
      </c>
      <c r="J363" s="40" t="s">
        <v>342</v>
      </c>
      <c r="K363" s="38" t="s">
        <v>776</v>
      </c>
      <c r="BP363"/>
    </row>
    <row r="364" spans="1:68" x14ac:dyDescent="0.25">
      <c r="A364" s="19"/>
      <c r="B364" s="19"/>
      <c r="C364" s="19"/>
      <c r="D364" s="19"/>
      <c r="E364" s="19"/>
      <c r="F364" s="19"/>
      <c r="G364" s="38" t="s">
        <v>97</v>
      </c>
      <c r="H364" s="38" t="s">
        <v>98</v>
      </c>
      <c r="I364" s="46" t="str">
        <f t="shared" si="32"/>
        <v>EPM_Practice_USA_-_PlanningApplication Developer - PLN</v>
      </c>
      <c r="J364" s="40" t="s">
        <v>99</v>
      </c>
      <c r="K364" s="38" t="s">
        <v>776</v>
      </c>
      <c r="BP364"/>
    </row>
    <row r="365" spans="1:68" x14ac:dyDescent="0.25">
      <c r="A365" s="19"/>
      <c r="B365" s="19"/>
      <c r="C365" s="19"/>
      <c r="D365" s="19"/>
      <c r="E365" s="19"/>
      <c r="F365" s="19"/>
      <c r="G365" s="38" t="s">
        <v>97</v>
      </c>
      <c r="H365" s="38" t="s">
        <v>313</v>
      </c>
      <c r="I365" s="46" t="str">
        <f t="shared" si="32"/>
        <v>EPM_Practice_USA_-_PlanningSolution Architect</v>
      </c>
      <c r="J365" s="40" t="s">
        <v>343</v>
      </c>
      <c r="K365" s="38" t="s">
        <v>776</v>
      </c>
      <c r="BP365"/>
    </row>
    <row r="366" spans="1:68" x14ac:dyDescent="0.25">
      <c r="A366" s="19"/>
      <c r="B366" s="19"/>
      <c r="C366" s="19"/>
      <c r="D366" s="19"/>
      <c r="E366" s="19"/>
      <c r="F366" s="19"/>
      <c r="G366" s="38" t="s">
        <v>97</v>
      </c>
      <c r="H366" s="38" t="s">
        <v>216</v>
      </c>
      <c r="I366" s="46" t="str">
        <f t="shared" si="32"/>
        <v>EPM_Practice_USA_-_PlanningApplication Developer</v>
      </c>
      <c r="J366" s="40" t="s">
        <v>344</v>
      </c>
      <c r="K366" s="38" t="s">
        <v>776</v>
      </c>
      <c r="BP366"/>
    </row>
    <row r="367" spans="1:68" x14ac:dyDescent="0.25">
      <c r="A367" s="19"/>
      <c r="B367" s="19"/>
      <c r="C367" s="19"/>
      <c r="D367" s="19"/>
      <c r="E367" s="19"/>
      <c r="F367" s="19"/>
      <c r="G367" s="38" t="s">
        <v>97</v>
      </c>
      <c r="H367" s="38" t="s">
        <v>219</v>
      </c>
      <c r="I367" s="46" t="str">
        <f t="shared" si="32"/>
        <v>EPM_Practice_USA_-_PlanningSr. Application Lead</v>
      </c>
      <c r="J367" s="40" t="s">
        <v>345</v>
      </c>
      <c r="K367" s="38" t="s">
        <v>776</v>
      </c>
      <c r="BP367"/>
    </row>
    <row r="368" spans="1:68" x14ac:dyDescent="0.25">
      <c r="A368" s="19"/>
      <c r="B368" s="19"/>
      <c r="C368" s="19"/>
      <c r="D368" s="19"/>
      <c r="E368" s="19"/>
      <c r="F368" s="19"/>
      <c r="G368" s="38" t="s">
        <v>346</v>
      </c>
      <c r="H368" s="38" t="s">
        <v>216</v>
      </c>
      <c r="I368" s="46" t="str">
        <f t="shared" si="32"/>
        <v>ERP_Practice_ArgentinaApplication Developer</v>
      </c>
      <c r="J368" s="40" t="s">
        <v>347</v>
      </c>
      <c r="K368" s="38" t="s">
        <v>1007</v>
      </c>
      <c r="BP368"/>
    </row>
    <row r="369" spans="1:68" x14ac:dyDescent="0.25">
      <c r="A369" s="19"/>
      <c r="B369" s="19"/>
      <c r="C369" s="19"/>
      <c r="D369" s="19"/>
      <c r="E369" s="19"/>
      <c r="F369" s="19"/>
      <c r="G369" s="38" t="s">
        <v>346</v>
      </c>
      <c r="H369" s="38" t="s">
        <v>219</v>
      </c>
      <c r="I369" s="46" t="str">
        <f t="shared" si="32"/>
        <v>ERP_Practice_ArgentinaSr. Application Lead</v>
      </c>
      <c r="J369" s="40" t="s">
        <v>348</v>
      </c>
      <c r="K369" s="38" t="s">
        <v>1007</v>
      </c>
      <c r="BP369"/>
    </row>
    <row r="370" spans="1:68" x14ac:dyDescent="0.25">
      <c r="A370" s="19"/>
      <c r="B370" s="19"/>
      <c r="C370" s="19"/>
      <c r="D370" s="19"/>
      <c r="E370" s="19"/>
      <c r="F370" s="19"/>
      <c r="G370" s="38" t="s">
        <v>346</v>
      </c>
      <c r="H370" s="38" t="s">
        <v>349</v>
      </c>
      <c r="I370" s="46" t="str">
        <f t="shared" si="32"/>
        <v>ERP_Practice_ArgentinaSr. Functional Lead</v>
      </c>
      <c r="J370" s="40" t="s">
        <v>350</v>
      </c>
      <c r="K370" s="38" t="s">
        <v>1007</v>
      </c>
      <c r="BP370"/>
    </row>
    <row r="371" spans="1:68" x14ac:dyDescent="0.25">
      <c r="A371" s="19"/>
      <c r="B371" s="19"/>
      <c r="C371" s="19"/>
      <c r="D371" s="19"/>
      <c r="E371" s="19"/>
      <c r="F371" s="19"/>
      <c r="G371" s="38" t="s">
        <v>346</v>
      </c>
      <c r="H371" s="38" t="s">
        <v>272</v>
      </c>
      <c r="I371" s="46" t="str">
        <f t="shared" si="32"/>
        <v>ERP_Practice_ArgentinaSr. Application Developer</v>
      </c>
      <c r="J371" s="40" t="s">
        <v>351</v>
      </c>
      <c r="K371" s="38" t="s">
        <v>1007</v>
      </c>
      <c r="BP371"/>
    </row>
    <row r="372" spans="1:68" x14ac:dyDescent="0.25">
      <c r="A372" s="19"/>
      <c r="B372" s="19"/>
      <c r="C372" s="19"/>
      <c r="D372" s="19"/>
      <c r="E372" s="19"/>
      <c r="F372" s="19"/>
      <c r="G372" s="38" t="s">
        <v>346</v>
      </c>
      <c r="H372" s="38" t="s">
        <v>95</v>
      </c>
      <c r="I372" s="46" t="str">
        <f t="shared" si="32"/>
        <v>ERP_Practice_ArgentinaSr. Project Manager</v>
      </c>
      <c r="J372" s="40" t="s">
        <v>352</v>
      </c>
      <c r="K372" s="38" t="s">
        <v>1007</v>
      </c>
      <c r="BP372"/>
    </row>
    <row r="373" spans="1:68" x14ac:dyDescent="0.25">
      <c r="A373" s="19"/>
      <c r="B373" s="19"/>
      <c r="C373" s="19"/>
      <c r="D373" s="19"/>
      <c r="E373" s="19"/>
      <c r="F373" s="19"/>
      <c r="G373" s="38" t="s">
        <v>353</v>
      </c>
      <c r="H373" s="38" t="s">
        <v>307</v>
      </c>
      <c r="I373" s="46" t="str">
        <f t="shared" si="32"/>
        <v>ERP_Practice_BrazilApplication Lead</v>
      </c>
      <c r="J373" s="40" t="s">
        <v>354</v>
      </c>
      <c r="K373" s="38" t="s">
        <v>1016</v>
      </c>
      <c r="BP373"/>
    </row>
    <row r="374" spans="1:68" x14ac:dyDescent="0.25">
      <c r="A374" s="19"/>
      <c r="B374" s="19"/>
      <c r="C374" s="19"/>
      <c r="D374" s="19"/>
      <c r="E374" s="19"/>
      <c r="F374" s="19"/>
      <c r="G374" s="38" t="s">
        <v>355</v>
      </c>
      <c r="H374" s="38" t="s">
        <v>95</v>
      </c>
      <c r="I374" s="46" t="str">
        <f t="shared" si="32"/>
        <v>ERP_Practice_CzechRepublicSr. Project Manager</v>
      </c>
      <c r="J374" s="40" t="s">
        <v>356</v>
      </c>
      <c r="K374" s="38" t="s">
        <v>1025</v>
      </c>
      <c r="BP374"/>
    </row>
    <row r="375" spans="1:68" x14ac:dyDescent="0.25">
      <c r="A375" s="19"/>
      <c r="B375" s="19"/>
      <c r="C375" s="19"/>
      <c r="D375" s="19"/>
      <c r="E375" s="19"/>
      <c r="F375" s="19"/>
      <c r="G375" s="38" t="s">
        <v>357</v>
      </c>
      <c r="H375" s="38" t="s">
        <v>358</v>
      </c>
      <c r="I375" s="46" t="str">
        <f t="shared" si="32"/>
        <v>ERP_Practice_GermanyPrincipal</v>
      </c>
      <c r="J375" s="40" t="s">
        <v>359</v>
      </c>
      <c r="K375" s="38" t="s">
        <v>1027</v>
      </c>
      <c r="BP375"/>
    </row>
    <row r="376" spans="1:68" x14ac:dyDescent="0.25">
      <c r="A376" s="19"/>
      <c r="B376" s="19"/>
      <c r="C376" s="19"/>
      <c r="D376" s="19"/>
      <c r="E376" s="19"/>
      <c r="F376" s="19"/>
      <c r="G376" s="38" t="s">
        <v>360</v>
      </c>
      <c r="H376" s="38" t="s">
        <v>313</v>
      </c>
      <c r="I376" s="46" t="str">
        <f t="shared" si="32"/>
        <v>ERP_Practice_IndiaSolution Architect</v>
      </c>
      <c r="J376" s="40" t="s">
        <v>361</v>
      </c>
      <c r="K376" s="38" t="s">
        <v>946</v>
      </c>
      <c r="BP376"/>
    </row>
    <row r="377" spans="1:68" x14ac:dyDescent="0.25">
      <c r="A377" s="19"/>
      <c r="B377" s="19"/>
      <c r="C377" s="19"/>
      <c r="D377" s="19"/>
      <c r="E377" s="19"/>
      <c r="F377" s="19"/>
      <c r="G377" s="38" t="s">
        <v>360</v>
      </c>
      <c r="H377" s="38" t="s">
        <v>272</v>
      </c>
      <c r="I377" s="46" t="str">
        <f t="shared" si="32"/>
        <v>ERP_Practice_IndiaSr. Application Developer</v>
      </c>
      <c r="J377" s="40" t="s">
        <v>362</v>
      </c>
      <c r="K377" s="38" t="s">
        <v>946</v>
      </c>
      <c r="BP377"/>
    </row>
    <row r="378" spans="1:68" x14ac:dyDescent="0.25">
      <c r="A378" s="19"/>
      <c r="B378" s="19"/>
      <c r="C378" s="19"/>
      <c r="D378" s="19"/>
      <c r="E378" s="19"/>
      <c r="F378" s="19"/>
      <c r="G378" s="38" t="s">
        <v>360</v>
      </c>
      <c r="H378" s="38" t="s">
        <v>307</v>
      </c>
      <c r="I378" s="46" t="str">
        <f t="shared" si="32"/>
        <v>ERP_Practice_IndiaApplication Lead</v>
      </c>
      <c r="J378" s="40" t="s">
        <v>363</v>
      </c>
      <c r="K378" s="38" t="s">
        <v>946</v>
      </c>
      <c r="BP378"/>
    </row>
    <row r="379" spans="1:68" x14ac:dyDescent="0.25">
      <c r="A379" s="19"/>
      <c r="B379" s="19"/>
      <c r="C379" s="19"/>
      <c r="D379" s="19"/>
      <c r="E379" s="19"/>
      <c r="F379" s="19"/>
      <c r="G379" s="38" t="s">
        <v>360</v>
      </c>
      <c r="H379" s="38" t="s">
        <v>219</v>
      </c>
      <c r="I379" s="46" t="str">
        <f t="shared" si="32"/>
        <v>ERP_Practice_IndiaSr. Application Lead</v>
      </c>
      <c r="J379" s="40" t="s">
        <v>364</v>
      </c>
      <c r="K379" s="38" t="s">
        <v>946</v>
      </c>
      <c r="BP379"/>
    </row>
    <row r="380" spans="1:68" x14ac:dyDescent="0.25">
      <c r="A380" s="19"/>
      <c r="B380" s="19"/>
      <c r="C380" s="19"/>
      <c r="D380" s="19"/>
      <c r="E380" s="19"/>
      <c r="F380" s="19"/>
      <c r="G380" s="38" t="s">
        <v>360</v>
      </c>
      <c r="H380" s="38" t="s">
        <v>216</v>
      </c>
      <c r="I380" s="46" t="str">
        <f t="shared" si="32"/>
        <v>ERP_Practice_IndiaApplication Developer</v>
      </c>
      <c r="J380" s="40" t="s">
        <v>365</v>
      </c>
      <c r="K380" s="38" t="s">
        <v>946</v>
      </c>
      <c r="BP380"/>
    </row>
    <row r="381" spans="1:68" x14ac:dyDescent="0.25">
      <c r="A381" s="19"/>
      <c r="B381" s="19"/>
      <c r="C381" s="19"/>
      <c r="D381" s="19"/>
      <c r="E381" s="19"/>
      <c r="F381" s="19"/>
      <c r="G381" s="38" t="s">
        <v>360</v>
      </c>
      <c r="H381" s="38" t="s">
        <v>216</v>
      </c>
      <c r="I381" s="46" t="str">
        <f t="shared" si="32"/>
        <v>ERP_Practice_IndiaApplication Developer</v>
      </c>
      <c r="J381" s="40" t="s">
        <v>366</v>
      </c>
      <c r="K381" s="38" t="s">
        <v>946</v>
      </c>
      <c r="BP381"/>
    </row>
    <row r="382" spans="1:68" x14ac:dyDescent="0.25">
      <c r="A382" s="19"/>
      <c r="B382" s="19"/>
      <c r="C382" s="19"/>
      <c r="D382" s="19"/>
      <c r="E382" s="19"/>
      <c r="F382" s="19"/>
      <c r="G382" s="38" t="s">
        <v>360</v>
      </c>
      <c r="H382" s="38" t="s">
        <v>272</v>
      </c>
      <c r="I382" s="46" t="str">
        <f t="shared" si="32"/>
        <v>ERP_Practice_IndiaSr. Application Developer</v>
      </c>
      <c r="J382" s="40" t="s">
        <v>367</v>
      </c>
      <c r="K382" s="38" t="s">
        <v>946</v>
      </c>
      <c r="BP382"/>
    </row>
    <row r="383" spans="1:68" x14ac:dyDescent="0.25">
      <c r="A383" s="19"/>
      <c r="B383" s="19"/>
      <c r="C383" s="19"/>
      <c r="D383" s="19"/>
      <c r="E383" s="19"/>
      <c r="F383" s="19"/>
      <c r="G383" s="38" t="s">
        <v>360</v>
      </c>
      <c r="H383" s="38" t="s">
        <v>313</v>
      </c>
      <c r="I383" s="46" t="str">
        <f t="shared" si="32"/>
        <v>ERP_Practice_IndiaSolution Architect</v>
      </c>
      <c r="J383" s="40" t="s">
        <v>368</v>
      </c>
      <c r="K383" s="38" t="s">
        <v>946</v>
      </c>
      <c r="BP383"/>
    </row>
    <row r="384" spans="1:68" x14ac:dyDescent="0.25">
      <c r="A384" s="19"/>
      <c r="B384" s="19"/>
      <c r="C384" s="19"/>
      <c r="D384" s="19"/>
      <c r="E384" s="19"/>
      <c r="F384" s="19"/>
      <c r="G384" s="38" t="s">
        <v>360</v>
      </c>
      <c r="H384" s="38" t="s">
        <v>313</v>
      </c>
      <c r="I384" s="46" t="str">
        <f t="shared" si="32"/>
        <v>ERP_Practice_IndiaSolution Architect</v>
      </c>
      <c r="J384" s="40" t="s">
        <v>369</v>
      </c>
      <c r="K384" s="38" t="s">
        <v>946</v>
      </c>
      <c r="BP384"/>
    </row>
    <row r="385" spans="1:68" x14ac:dyDescent="0.25">
      <c r="A385" s="19"/>
      <c r="B385" s="19"/>
      <c r="C385" s="19"/>
      <c r="D385" s="19"/>
      <c r="E385" s="19"/>
      <c r="F385" s="19"/>
      <c r="G385" s="38" t="s">
        <v>360</v>
      </c>
      <c r="H385" s="38" t="s">
        <v>313</v>
      </c>
      <c r="I385" s="46" t="str">
        <f t="shared" si="32"/>
        <v>ERP_Practice_IndiaSolution Architect</v>
      </c>
      <c r="J385" s="40" t="s">
        <v>370</v>
      </c>
      <c r="K385" s="38" t="s">
        <v>946</v>
      </c>
      <c r="BP385"/>
    </row>
    <row r="386" spans="1:68" x14ac:dyDescent="0.25">
      <c r="A386" s="19"/>
      <c r="B386" s="19"/>
      <c r="C386" s="19"/>
      <c r="D386" s="19"/>
      <c r="E386" s="19"/>
      <c r="F386" s="19"/>
      <c r="G386" s="38" t="s">
        <v>360</v>
      </c>
      <c r="H386" s="38" t="s">
        <v>241</v>
      </c>
      <c r="I386" s="46" t="str">
        <f t="shared" si="32"/>
        <v>ERP_Practice_IndiaSr. Solution Architect</v>
      </c>
      <c r="J386" s="40" t="s">
        <v>371</v>
      </c>
      <c r="K386" s="38" t="s">
        <v>946</v>
      </c>
      <c r="BP386"/>
    </row>
    <row r="387" spans="1:68" x14ac:dyDescent="0.25">
      <c r="A387" s="19"/>
      <c r="B387" s="19"/>
      <c r="C387" s="19"/>
      <c r="D387" s="19"/>
      <c r="E387" s="19"/>
      <c r="F387" s="19"/>
      <c r="G387" s="38" t="s">
        <v>360</v>
      </c>
      <c r="H387" s="38" t="s">
        <v>241</v>
      </c>
      <c r="I387" s="46" t="str">
        <f t="shared" si="32"/>
        <v>ERP_Practice_IndiaSr. Solution Architect</v>
      </c>
      <c r="J387" s="40" t="s">
        <v>372</v>
      </c>
      <c r="K387" s="38" t="s">
        <v>946</v>
      </c>
      <c r="BP387"/>
    </row>
    <row r="388" spans="1:68" x14ac:dyDescent="0.25">
      <c r="A388" s="19"/>
      <c r="B388" s="19"/>
      <c r="C388" s="19"/>
      <c r="D388" s="19"/>
      <c r="E388" s="19"/>
      <c r="F388" s="19"/>
      <c r="G388" s="38" t="s">
        <v>373</v>
      </c>
      <c r="H388" s="38" t="s">
        <v>216</v>
      </c>
      <c r="I388" s="46" t="str">
        <f t="shared" si="32"/>
        <v>ERP_Practice_MexicoApplication Developer</v>
      </c>
      <c r="J388" s="40" t="s">
        <v>374</v>
      </c>
      <c r="K388" s="38" t="s">
        <v>1040</v>
      </c>
      <c r="BP388"/>
    </row>
    <row r="389" spans="1:68" x14ac:dyDescent="0.25">
      <c r="A389" s="19"/>
      <c r="B389" s="19"/>
      <c r="C389" s="19"/>
      <c r="D389" s="19"/>
      <c r="E389" s="19"/>
      <c r="F389" s="19"/>
      <c r="G389" s="38" t="s">
        <v>375</v>
      </c>
      <c r="H389" s="38" t="s">
        <v>376</v>
      </c>
      <c r="I389" s="46" t="str">
        <f t="shared" si="32"/>
        <v>ERP_Practice_SpainTechno-Functional Finance Lead</v>
      </c>
      <c r="J389" s="40" t="s">
        <v>377</v>
      </c>
      <c r="K389" s="38" t="s">
        <v>1050</v>
      </c>
      <c r="BP389"/>
    </row>
    <row r="390" spans="1:68" x14ac:dyDescent="0.25">
      <c r="A390" s="19"/>
      <c r="B390" s="19"/>
      <c r="C390" s="19"/>
      <c r="D390" s="19"/>
      <c r="E390" s="19"/>
      <c r="F390" s="19"/>
      <c r="G390" s="38" t="s">
        <v>378</v>
      </c>
      <c r="H390" s="38" t="s">
        <v>307</v>
      </c>
      <c r="I390" s="46" t="str">
        <f t="shared" si="32"/>
        <v>ERP_Practice_USAApplication Lead</v>
      </c>
      <c r="J390" s="40" t="s">
        <v>379</v>
      </c>
      <c r="K390" s="38" t="s">
        <v>776</v>
      </c>
      <c r="BP390"/>
    </row>
    <row r="391" spans="1:68" x14ac:dyDescent="0.25">
      <c r="A391" s="19"/>
      <c r="B391" s="19"/>
      <c r="C391" s="19"/>
      <c r="D391" s="19"/>
      <c r="E391" s="19"/>
      <c r="F391" s="19"/>
      <c r="G391" s="38" t="s">
        <v>378</v>
      </c>
      <c r="H391" s="38" t="s">
        <v>219</v>
      </c>
      <c r="I391" s="46" t="str">
        <f t="shared" si="32"/>
        <v>ERP_Practice_USASr. Application Lead</v>
      </c>
      <c r="J391" s="40" t="s">
        <v>380</v>
      </c>
      <c r="K391" s="38" t="s">
        <v>776</v>
      </c>
      <c r="BP391"/>
    </row>
    <row r="392" spans="1:68" x14ac:dyDescent="0.25">
      <c r="A392" s="19"/>
      <c r="B392" s="19"/>
      <c r="C392" s="19"/>
      <c r="D392" s="19"/>
      <c r="E392" s="19"/>
      <c r="F392" s="19"/>
      <c r="G392" s="38" t="s">
        <v>378</v>
      </c>
      <c r="H392" s="38" t="s">
        <v>381</v>
      </c>
      <c r="I392" s="46" t="str">
        <f t="shared" si="32"/>
        <v>ERP_Practice_USAApplication Support Lead</v>
      </c>
      <c r="J392" s="40" t="s">
        <v>382</v>
      </c>
      <c r="K392" s="38" t="s">
        <v>776</v>
      </c>
      <c r="BP392"/>
    </row>
    <row r="393" spans="1:68" x14ac:dyDescent="0.25">
      <c r="A393" s="19"/>
      <c r="B393" s="19"/>
      <c r="C393" s="19"/>
      <c r="D393" s="19"/>
      <c r="E393" s="19"/>
      <c r="F393" s="19"/>
      <c r="G393" s="38" t="s">
        <v>378</v>
      </c>
      <c r="H393" s="38" t="s">
        <v>307</v>
      </c>
      <c r="I393" s="46" t="str">
        <f t="shared" si="32"/>
        <v>ERP_Practice_USAApplication Lead</v>
      </c>
      <c r="J393" s="40" t="s">
        <v>383</v>
      </c>
      <c r="K393" s="38" t="s">
        <v>776</v>
      </c>
      <c r="BP393"/>
    </row>
    <row r="394" spans="1:68" x14ac:dyDescent="0.25">
      <c r="A394" s="19"/>
      <c r="B394" s="19"/>
      <c r="C394" s="19"/>
      <c r="D394" s="19"/>
      <c r="E394" s="19"/>
      <c r="F394" s="19"/>
      <c r="G394" s="38" t="s">
        <v>378</v>
      </c>
      <c r="H394" s="38" t="s">
        <v>219</v>
      </c>
      <c r="I394" s="46" t="str">
        <f t="shared" si="32"/>
        <v>ERP_Practice_USASr. Application Lead</v>
      </c>
      <c r="J394" s="40" t="s">
        <v>384</v>
      </c>
      <c r="K394" s="38" t="s">
        <v>776</v>
      </c>
      <c r="BP394"/>
    </row>
    <row r="395" spans="1:68" x14ac:dyDescent="0.25">
      <c r="A395" s="19"/>
      <c r="B395" s="19"/>
      <c r="C395" s="19"/>
      <c r="D395" s="19"/>
      <c r="E395" s="19"/>
      <c r="F395" s="19"/>
      <c r="G395" s="38" t="s">
        <v>378</v>
      </c>
      <c r="H395" s="38" t="s">
        <v>241</v>
      </c>
      <c r="I395" s="46" t="str">
        <f t="shared" si="32"/>
        <v>ERP_Practice_USASr. Solution Architect</v>
      </c>
      <c r="J395" s="40" t="s">
        <v>385</v>
      </c>
      <c r="K395" s="38" t="s">
        <v>776</v>
      </c>
      <c r="BP395"/>
    </row>
    <row r="396" spans="1:68" x14ac:dyDescent="0.25">
      <c r="A396" s="19"/>
      <c r="B396" s="19"/>
      <c r="C396" s="19"/>
      <c r="D396" s="19"/>
      <c r="E396" s="19"/>
      <c r="F396" s="19"/>
      <c r="G396" s="38" t="s">
        <v>378</v>
      </c>
      <c r="H396" s="38" t="s">
        <v>200</v>
      </c>
      <c r="I396" s="46" t="str">
        <f t="shared" si="32"/>
        <v>ERP_Practice_USAProject Manager</v>
      </c>
      <c r="J396" s="40" t="s">
        <v>386</v>
      </c>
      <c r="K396" s="38" t="s">
        <v>776</v>
      </c>
      <c r="BP396"/>
    </row>
    <row r="397" spans="1:68" x14ac:dyDescent="0.25">
      <c r="A397" s="19"/>
      <c r="B397" s="19"/>
      <c r="C397" s="19"/>
      <c r="D397" s="19"/>
      <c r="E397" s="19"/>
      <c r="F397" s="19"/>
      <c r="G397" s="38" t="s">
        <v>378</v>
      </c>
      <c r="H397" s="38" t="s">
        <v>320</v>
      </c>
      <c r="I397" s="46" t="str">
        <f t="shared" si="32"/>
        <v>ERP_Practice_USASr. Application Support Lead</v>
      </c>
      <c r="J397" s="40" t="s">
        <v>387</v>
      </c>
      <c r="K397" s="38" t="s">
        <v>776</v>
      </c>
      <c r="BP397"/>
    </row>
    <row r="398" spans="1:68" x14ac:dyDescent="0.25">
      <c r="A398" s="19"/>
      <c r="B398" s="19"/>
      <c r="C398" s="19"/>
      <c r="D398" s="19"/>
      <c r="E398" s="19"/>
      <c r="F398" s="19"/>
      <c r="G398" s="38" t="s">
        <v>378</v>
      </c>
      <c r="H398" s="38" t="s">
        <v>307</v>
      </c>
      <c r="I398" s="46" t="str">
        <f t="shared" si="32"/>
        <v>ERP_Practice_USAApplication Lead</v>
      </c>
      <c r="J398" s="40" t="s">
        <v>388</v>
      </c>
      <c r="K398" s="38" t="s">
        <v>776</v>
      </c>
      <c r="BP398"/>
    </row>
    <row r="399" spans="1:68" x14ac:dyDescent="0.25">
      <c r="A399" s="19"/>
      <c r="B399" s="19"/>
      <c r="C399" s="19"/>
      <c r="D399" s="19"/>
      <c r="E399" s="19"/>
      <c r="F399" s="19"/>
      <c r="G399" s="38" t="s">
        <v>378</v>
      </c>
      <c r="H399" s="38" t="s">
        <v>272</v>
      </c>
      <c r="I399" s="46" t="str">
        <f t="shared" si="32"/>
        <v>ERP_Practice_USASr. Application Developer</v>
      </c>
      <c r="J399" s="40" t="s">
        <v>389</v>
      </c>
      <c r="K399" s="38" t="s">
        <v>776</v>
      </c>
      <c r="BP399"/>
    </row>
    <row r="400" spans="1:68" x14ac:dyDescent="0.25">
      <c r="A400" s="19"/>
      <c r="B400" s="19"/>
      <c r="C400" s="19"/>
      <c r="D400" s="19"/>
      <c r="E400" s="19"/>
      <c r="F400" s="19"/>
      <c r="G400" s="38" t="s">
        <v>378</v>
      </c>
      <c r="H400" s="38" t="s">
        <v>320</v>
      </c>
      <c r="I400" s="46" t="str">
        <f t="shared" si="32"/>
        <v>ERP_Practice_USASr. Application Support Lead</v>
      </c>
      <c r="J400" s="40" t="s">
        <v>390</v>
      </c>
      <c r="K400" s="38" t="s">
        <v>776</v>
      </c>
      <c r="BP400"/>
    </row>
    <row r="401" spans="1:68" x14ac:dyDescent="0.25">
      <c r="A401" s="19"/>
      <c r="B401" s="19"/>
      <c r="C401" s="19"/>
      <c r="D401" s="19"/>
      <c r="E401" s="19"/>
      <c r="F401" s="19"/>
      <c r="G401" s="38" t="s">
        <v>378</v>
      </c>
      <c r="H401" s="38" t="s">
        <v>313</v>
      </c>
      <c r="I401" s="46" t="str">
        <f t="shared" si="32"/>
        <v>ERP_Practice_USASolution Architect</v>
      </c>
      <c r="J401" s="40" t="s">
        <v>391</v>
      </c>
      <c r="K401" s="38" t="s">
        <v>776</v>
      </c>
      <c r="BP401"/>
    </row>
    <row r="402" spans="1:68" x14ac:dyDescent="0.25">
      <c r="A402" s="19"/>
      <c r="B402" s="19"/>
      <c r="C402" s="19"/>
      <c r="D402" s="19"/>
      <c r="E402" s="19"/>
      <c r="F402" s="19"/>
      <c r="G402" s="38" t="s">
        <v>378</v>
      </c>
      <c r="H402" s="38" t="s">
        <v>216</v>
      </c>
      <c r="I402" s="46" t="str">
        <f t="shared" si="32"/>
        <v>ERP_Practice_USAApplication Developer</v>
      </c>
      <c r="J402" s="40" t="s">
        <v>392</v>
      </c>
      <c r="K402" s="38" t="s">
        <v>776</v>
      </c>
      <c r="BP402"/>
    </row>
    <row r="403" spans="1:68" x14ac:dyDescent="0.25">
      <c r="A403" s="19"/>
      <c r="B403" s="19"/>
      <c r="C403" s="19"/>
      <c r="D403" s="19"/>
      <c r="E403" s="19"/>
      <c r="F403" s="19"/>
      <c r="G403" s="38" t="s">
        <v>378</v>
      </c>
      <c r="H403" s="38" t="s">
        <v>307</v>
      </c>
      <c r="I403" s="46" t="str">
        <f t="shared" si="32"/>
        <v>ERP_Practice_USAApplication Lead</v>
      </c>
      <c r="J403" s="40" t="s">
        <v>393</v>
      </c>
      <c r="K403" s="38" t="s">
        <v>776</v>
      </c>
      <c r="BP403"/>
    </row>
    <row r="404" spans="1:68" x14ac:dyDescent="0.25">
      <c r="A404" s="19"/>
      <c r="B404" s="19"/>
      <c r="C404" s="19"/>
      <c r="D404" s="19"/>
      <c r="E404" s="19"/>
      <c r="F404" s="19"/>
      <c r="G404" s="38" t="s">
        <v>378</v>
      </c>
      <c r="H404" s="38" t="s">
        <v>313</v>
      </c>
      <c r="I404" s="46" t="str">
        <f t="shared" si="32"/>
        <v>ERP_Practice_USASolution Architect</v>
      </c>
      <c r="J404" s="40" t="s">
        <v>394</v>
      </c>
      <c r="K404" s="38" t="s">
        <v>776</v>
      </c>
      <c r="BP404"/>
    </row>
    <row r="405" spans="1:68" x14ac:dyDescent="0.25">
      <c r="A405" s="19"/>
      <c r="B405" s="19"/>
      <c r="C405" s="19"/>
      <c r="D405" s="19"/>
      <c r="E405" s="19"/>
      <c r="F405" s="19"/>
      <c r="G405" s="38" t="s">
        <v>378</v>
      </c>
      <c r="H405" s="38" t="s">
        <v>313</v>
      </c>
      <c r="I405" s="46" t="str">
        <f t="shared" si="32"/>
        <v>ERP_Practice_USASolution Architect</v>
      </c>
      <c r="J405" s="40" t="s">
        <v>395</v>
      </c>
      <c r="K405" s="38" t="s">
        <v>776</v>
      </c>
      <c r="BP405"/>
    </row>
    <row r="406" spans="1:68" x14ac:dyDescent="0.25">
      <c r="A406" s="19"/>
      <c r="B406" s="19"/>
      <c r="C406" s="19"/>
      <c r="D406" s="19"/>
      <c r="E406" s="19"/>
      <c r="F406" s="19"/>
      <c r="G406" s="38" t="s">
        <v>378</v>
      </c>
      <c r="H406" s="38" t="s">
        <v>313</v>
      </c>
      <c r="I406" s="46" t="str">
        <f t="shared" si="32"/>
        <v>ERP_Practice_USASolution Architect</v>
      </c>
      <c r="J406" s="40" t="s">
        <v>396</v>
      </c>
      <c r="K406" s="38" t="s">
        <v>776</v>
      </c>
      <c r="BP406"/>
    </row>
    <row r="407" spans="1:68" x14ac:dyDescent="0.25">
      <c r="A407" s="19"/>
      <c r="B407" s="19"/>
      <c r="C407" s="19"/>
      <c r="D407" s="19"/>
      <c r="E407" s="19"/>
      <c r="F407" s="19"/>
      <c r="G407" s="38" t="s">
        <v>378</v>
      </c>
      <c r="H407" s="38" t="s">
        <v>272</v>
      </c>
      <c r="I407" s="46" t="str">
        <f t="shared" si="32"/>
        <v>ERP_Practice_USASr. Application Developer</v>
      </c>
      <c r="J407" s="40" t="s">
        <v>397</v>
      </c>
      <c r="K407" s="38" t="s">
        <v>776</v>
      </c>
      <c r="BP407"/>
    </row>
    <row r="408" spans="1:68" x14ac:dyDescent="0.25">
      <c r="A408" s="19"/>
      <c r="B408" s="19"/>
      <c r="C408" s="19"/>
      <c r="D408" s="19"/>
      <c r="E408" s="19"/>
      <c r="F408" s="19"/>
      <c r="G408" s="38" t="s">
        <v>378</v>
      </c>
      <c r="H408" s="38" t="s">
        <v>216</v>
      </c>
      <c r="I408" s="46" t="str">
        <f t="shared" si="32"/>
        <v>ERP_Practice_USAApplication Developer</v>
      </c>
      <c r="J408" s="40" t="s">
        <v>398</v>
      </c>
      <c r="K408" s="38" t="s">
        <v>776</v>
      </c>
      <c r="BP408"/>
    </row>
    <row r="409" spans="1:68" x14ac:dyDescent="0.25">
      <c r="A409" s="19"/>
      <c r="B409" s="19"/>
      <c r="C409" s="19"/>
      <c r="D409" s="19"/>
      <c r="E409" s="19"/>
      <c r="F409" s="19"/>
      <c r="G409" s="38" t="s">
        <v>378</v>
      </c>
      <c r="H409" s="38" t="s">
        <v>307</v>
      </c>
      <c r="I409" s="46" t="str">
        <f t="shared" si="32"/>
        <v>ERP_Practice_USAApplication Lead</v>
      </c>
      <c r="J409" s="40" t="s">
        <v>399</v>
      </c>
      <c r="K409" s="38" t="s">
        <v>776</v>
      </c>
      <c r="BP409"/>
    </row>
    <row r="410" spans="1:68" x14ac:dyDescent="0.25">
      <c r="A410" s="19"/>
      <c r="B410" s="19"/>
      <c r="C410" s="19"/>
      <c r="D410" s="19"/>
      <c r="E410" s="19"/>
      <c r="F410" s="19"/>
      <c r="G410" s="38" t="s">
        <v>378</v>
      </c>
      <c r="H410" s="38" t="s">
        <v>307</v>
      </c>
      <c r="I410" s="46" t="str">
        <f t="shared" si="32"/>
        <v>ERP_Practice_USAApplication Lead</v>
      </c>
      <c r="J410" s="40" t="s">
        <v>400</v>
      </c>
      <c r="K410" s="38" t="s">
        <v>776</v>
      </c>
      <c r="BP410"/>
    </row>
    <row r="411" spans="1:68" x14ac:dyDescent="0.25">
      <c r="A411" s="19"/>
      <c r="B411" s="19"/>
      <c r="C411" s="19"/>
      <c r="D411" s="19"/>
      <c r="E411" s="19"/>
      <c r="F411" s="19"/>
      <c r="G411" s="38" t="s">
        <v>378</v>
      </c>
      <c r="H411" s="38" t="s">
        <v>307</v>
      </c>
      <c r="I411" s="46" t="str">
        <f t="shared" si="32"/>
        <v>ERP_Practice_USAApplication Lead</v>
      </c>
      <c r="J411" s="40" t="s">
        <v>401</v>
      </c>
      <c r="K411" s="38" t="s">
        <v>776</v>
      </c>
      <c r="BP411"/>
    </row>
    <row r="412" spans="1:68" x14ac:dyDescent="0.25">
      <c r="A412" s="19"/>
      <c r="B412" s="19"/>
      <c r="C412" s="19"/>
      <c r="D412" s="19"/>
      <c r="E412" s="19"/>
      <c r="F412" s="19"/>
      <c r="G412" s="38" t="s">
        <v>378</v>
      </c>
      <c r="H412" s="38" t="s">
        <v>307</v>
      </c>
      <c r="I412" s="46" t="str">
        <f t="shared" si="32"/>
        <v>ERP_Practice_USAApplication Lead</v>
      </c>
      <c r="J412" s="40" t="s">
        <v>402</v>
      </c>
      <c r="K412" s="38" t="s">
        <v>776</v>
      </c>
      <c r="BP412"/>
    </row>
    <row r="413" spans="1:68" x14ac:dyDescent="0.25">
      <c r="A413" s="19"/>
      <c r="B413" s="19"/>
      <c r="C413" s="19"/>
      <c r="D413" s="19"/>
      <c r="E413" s="19"/>
      <c r="F413" s="19"/>
      <c r="G413" s="38" t="s">
        <v>403</v>
      </c>
      <c r="H413" s="38" t="s">
        <v>200</v>
      </c>
      <c r="I413" s="46" t="str">
        <f t="shared" si="32"/>
        <v>EPM_Practice_IndiaProject Manager</v>
      </c>
      <c r="J413" s="40" t="s">
        <v>404</v>
      </c>
      <c r="K413" s="38" t="s">
        <v>40</v>
      </c>
      <c r="BP413"/>
    </row>
    <row r="414" spans="1:68" x14ac:dyDescent="0.25">
      <c r="A414" s="19"/>
      <c r="B414" s="19"/>
      <c r="C414" s="19"/>
      <c r="D414" s="19"/>
      <c r="E414" s="19"/>
      <c r="F414" s="19"/>
      <c r="G414" s="38" t="s">
        <v>403</v>
      </c>
      <c r="H414" s="38" t="s">
        <v>95</v>
      </c>
      <c r="I414" s="46" t="str">
        <f t="shared" si="32"/>
        <v>EPM_Practice_IndiaSr. Project Manager</v>
      </c>
      <c r="J414" s="40" t="s">
        <v>405</v>
      </c>
      <c r="K414" s="38" t="s">
        <v>40</v>
      </c>
      <c r="BP414"/>
    </row>
    <row r="415" spans="1:68" x14ac:dyDescent="0.25">
      <c r="A415" s="19"/>
      <c r="B415" s="19"/>
      <c r="C415" s="19"/>
      <c r="D415" s="19"/>
      <c r="E415" s="19"/>
      <c r="F415" s="19"/>
      <c r="G415" s="38" t="s">
        <v>403</v>
      </c>
      <c r="H415" s="38" t="s">
        <v>95</v>
      </c>
      <c r="I415" s="46" t="str">
        <f t="shared" si="32"/>
        <v>EPM_Practice_IndiaSr. Project Manager</v>
      </c>
      <c r="J415" s="40" t="s">
        <v>406</v>
      </c>
      <c r="K415" s="38" t="s">
        <v>40</v>
      </c>
      <c r="BP415"/>
    </row>
    <row r="416" spans="1:68" x14ac:dyDescent="0.25">
      <c r="A416" s="19"/>
      <c r="B416" s="19"/>
      <c r="C416" s="19"/>
      <c r="D416" s="19"/>
      <c r="E416" s="19"/>
      <c r="F416" s="19"/>
      <c r="G416" s="38" t="s">
        <v>94</v>
      </c>
      <c r="H416" s="38" t="s">
        <v>793</v>
      </c>
      <c r="I416" s="46" t="str">
        <f t="shared" ref="I416:I478" si="33">_xlfn.CONCAT(G416,H416)</f>
        <v>EPM_Practice_USAChange Manager</v>
      </c>
      <c r="J416" s="40" t="s">
        <v>408</v>
      </c>
      <c r="K416" s="38" t="s">
        <v>40</v>
      </c>
      <c r="BP416"/>
    </row>
    <row r="417" spans="1:68" x14ac:dyDescent="0.25">
      <c r="A417" s="19"/>
      <c r="B417" s="19"/>
      <c r="C417" s="19"/>
      <c r="D417" s="19"/>
      <c r="E417" s="19"/>
      <c r="F417" s="19"/>
      <c r="G417" s="38" t="s">
        <v>94</v>
      </c>
      <c r="H417" s="38" t="s">
        <v>200</v>
      </c>
      <c r="I417" s="46" t="str">
        <f t="shared" si="33"/>
        <v>EPM_Practice_USAProject Manager</v>
      </c>
      <c r="J417" s="40" t="s">
        <v>409</v>
      </c>
      <c r="K417" s="38" t="s">
        <v>40</v>
      </c>
      <c r="BP417"/>
    </row>
    <row r="418" spans="1:68" x14ac:dyDescent="0.25">
      <c r="A418" s="19"/>
      <c r="C418" s="19"/>
      <c r="D418" s="19"/>
      <c r="E418" s="19"/>
      <c r="F418" s="19"/>
      <c r="G418" s="38" t="s">
        <v>94</v>
      </c>
      <c r="H418" s="38" t="s">
        <v>95</v>
      </c>
      <c r="I418" s="46" t="str">
        <f t="shared" si="33"/>
        <v>EPM_Practice_USASr. Project Manager</v>
      </c>
      <c r="J418" s="40" t="s">
        <v>410</v>
      </c>
      <c r="K418" s="38" t="s">
        <v>40</v>
      </c>
      <c r="BP418"/>
    </row>
    <row r="419" spans="1:68" x14ac:dyDescent="0.25">
      <c r="A419" s="19"/>
      <c r="C419" s="19"/>
      <c r="D419" s="19"/>
      <c r="E419" s="19"/>
      <c r="F419" s="19"/>
      <c r="G419" s="38" t="s">
        <v>94</v>
      </c>
      <c r="H419" s="38" t="s">
        <v>411</v>
      </c>
      <c r="I419" s="46" t="str">
        <f t="shared" si="33"/>
        <v>EPM_Practice_USASr. Change Manager</v>
      </c>
      <c r="J419" s="40" t="s">
        <v>412</v>
      </c>
      <c r="K419" s="38" t="s">
        <v>40</v>
      </c>
      <c r="BP419"/>
    </row>
    <row r="420" spans="1:68" x14ac:dyDescent="0.25">
      <c r="A420" s="19"/>
      <c r="C420" s="19"/>
      <c r="D420" s="19"/>
      <c r="E420" s="19"/>
      <c r="F420" s="19"/>
      <c r="G420" s="38" t="s">
        <v>94</v>
      </c>
      <c r="H420" s="38" t="s">
        <v>95</v>
      </c>
      <c r="I420" s="46" t="str">
        <f t="shared" si="33"/>
        <v>EPM_Practice_USASr. Project Manager</v>
      </c>
      <c r="J420" s="40" t="s">
        <v>413</v>
      </c>
      <c r="K420" s="38" t="s">
        <v>40</v>
      </c>
      <c r="BP420"/>
    </row>
    <row r="421" spans="1:68" x14ac:dyDescent="0.25">
      <c r="A421" s="19"/>
      <c r="C421" s="19"/>
      <c r="D421" s="19"/>
      <c r="E421" s="19"/>
      <c r="F421" s="19"/>
      <c r="G421" s="38" t="s">
        <v>94</v>
      </c>
      <c r="H421" s="38" t="s">
        <v>358</v>
      </c>
      <c r="I421" s="46" t="str">
        <f t="shared" si="33"/>
        <v>EPM_Practice_USAPrincipal</v>
      </c>
      <c r="J421" s="40" t="s">
        <v>414</v>
      </c>
      <c r="K421" s="38" t="s">
        <v>40</v>
      </c>
      <c r="BP421"/>
    </row>
    <row r="422" spans="1:68" x14ac:dyDescent="0.25">
      <c r="A422" s="19"/>
      <c r="C422" s="19"/>
      <c r="D422" s="19"/>
      <c r="E422" s="19"/>
      <c r="F422" s="19"/>
      <c r="G422" s="38" t="s">
        <v>94</v>
      </c>
      <c r="H422" s="38" t="s">
        <v>95</v>
      </c>
      <c r="I422" s="46" t="str">
        <f t="shared" si="33"/>
        <v>EPM_Practice_USASr. Project Manager</v>
      </c>
      <c r="J422" s="40" t="s">
        <v>415</v>
      </c>
      <c r="K422" s="38" t="s">
        <v>40</v>
      </c>
      <c r="BP422"/>
    </row>
    <row r="423" spans="1:68" x14ac:dyDescent="0.25">
      <c r="A423" s="19"/>
      <c r="C423" s="19"/>
      <c r="D423" s="19"/>
      <c r="E423" s="19"/>
      <c r="F423" s="19"/>
      <c r="G423" s="38" t="s">
        <v>416</v>
      </c>
      <c r="H423" s="38" t="s">
        <v>200</v>
      </c>
      <c r="I423" s="46" t="str">
        <f t="shared" si="33"/>
        <v>PS_Practice_USAProject Manager</v>
      </c>
      <c r="J423" s="40" t="s">
        <v>417</v>
      </c>
      <c r="K423" s="38" t="s">
        <v>776</v>
      </c>
      <c r="BP423"/>
    </row>
    <row r="424" spans="1:68" x14ac:dyDescent="0.25">
      <c r="A424" s="19"/>
      <c r="C424" s="19"/>
      <c r="D424" s="19"/>
      <c r="E424" s="19"/>
      <c r="F424" s="19"/>
      <c r="G424" s="38" t="s">
        <v>416</v>
      </c>
      <c r="H424" s="38" t="s">
        <v>407</v>
      </c>
      <c r="I424" s="46" t="str">
        <f t="shared" si="33"/>
        <v>PS_Practice_USAProject Coordinator</v>
      </c>
      <c r="J424" s="40" t="s">
        <v>418</v>
      </c>
      <c r="K424" s="38" t="s">
        <v>776</v>
      </c>
      <c r="BP424"/>
    </row>
    <row r="425" spans="1:68" x14ac:dyDescent="0.25">
      <c r="A425" s="19"/>
      <c r="C425" s="19"/>
      <c r="D425" s="19"/>
      <c r="F425" s="19"/>
      <c r="G425" s="38" t="s">
        <v>416</v>
      </c>
      <c r="H425" s="38" t="s">
        <v>407</v>
      </c>
      <c r="I425" s="46" t="str">
        <f t="shared" si="33"/>
        <v>PS_Practice_USAProject Coordinator</v>
      </c>
      <c r="J425" s="40" t="s">
        <v>419</v>
      </c>
      <c r="K425" s="38" t="s">
        <v>776</v>
      </c>
      <c r="BP425"/>
    </row>
    <row r="426" spans="1:68" x14ac:dyDescent="0.25">
      <c r="A426" s="19"/>
      <c r="F426" s="19"/>
      <c r="G426" s="38" t="s">
        <v>416</v>
      </c>
      <c r="H426" s="38" t="s">
        <v>195</v>
      </c>
      <c r="I426" s="46" t="str">
        <f t="shared" si="33"/>
        <v>PS_Practice_USAProgram Manager</v>
      </c>
      <c r="J426" s="40" t="s">
        <v>420</v>
      </c>
      <c r="K426" s="38" t="s">
        <v>776</v>
      </c>
    </row>
    <row r="427" spans="1:68" x14ac:dyDescent="0.25">
      <c r="A427" s="19"/>
      <c r="F427" s="19"/>
      <c r="G427" s="38" t="s">
        <v>416</v>
      </c>
      <c r="H427" s="38" t="s">
        <v>421</v>
      </c>
      <c r="I427" s="46" t="str">
        <f t="shared" si="33"/>
        <v>PS_Practice_USASr. Program Manager</v>
      </c>
      <c r="J427" s="40" t="s">
        <v>422</v>
      </c>
      <c r="K427" s="38" t="s">
        <v>776</v>
      </c>
    </row>
    <row r="428" spans="1:68" x14ac:dyDescent="0.25">
      <c r="A428" s="19"/>
      <c r="F428" s="19"/>
      <c r="G428" s="38" t="s">
        <v>416</v>
      </c>
      <c r="H428" s="38" t="s">
        <v>241</v>
      </c>
      <c r="I428" s="46" t="str">
        <f t="shared" si="33"/>
        <v>PS_Practice_USASr. Solution Architect</v>
      </c>
      <c r="J428" s="40" t="s">
        <v>423</v>
      </c>
      <c r="K428" s="38" t="s">
        <v>776</v>
      </c>
    </row>
    <row r="429" spans="1:68" x14ac:dyDescent="0.25">
      <c r="A429" s="19"/>
      <c r="F429" s="19"/>
      <c r="G429" s="38" t="s">
        <v>416</v>
      </c>
      <c r="H429" s="38" t="s">
        <v>95</v>
      </c>
      <c r="I429" s="46" t="str">
        <f t="shared" si="33"/>
        <v>PS_Practice_USASr. Project Manager</v>
      </c>
      <c r="J429" s="40" t="s">
        <v>424</v>
      </c>
      <c r="K429" s="38" t="s">
        <v>776</v>
      </c>
    </row>
    <row r="430" spans="1:68" x14ac:dyDescent="0.25">
      <c r="A430" s="19"/>
      <c r="F430" s="19"/>
      <c r="G430" s="38" t="s">
        <v>416</v>
      </c>
      <c r="H430" s="38" t="s">
        <v>95</v>
      </c>
      <c r="I430" s="46" t="str">
        <f t="shared" si="33"/>
        <v>PS_Practice_USASr. Project Manager</v>
      </c>
      <c r="J430" s="40" t="s">
        <v>425</v>
      </c>
      <c r="K430" s="38" t="s">
        <v>776</v>
      </c>
    </row>
    <row r="431" spans="1:68" x14ac:dyDescent="0.25">
      <c r="F431" s="19"/>
      <c r="G431" s="38" t="s">
        <v>426</v>
      </c>
      <c r="H431" s="38" t="s">
        <v>427</v>
      </c>
      <c r="I431" s="46" t="str">
        <f t="shared" si="33"/>
        <v>TS_Practice_IndiaBusiness/Data Analyst</v>
      </c>
      <c r="J431" s="40" t="s">
        <v>428</v>
      </c>
      <c r="K431" s="38" t="s">
        <v>946</v>
      </c>
    </row>
    <row r="432" spans="1:68" x14ac:dyDescent="0.25">
      <c r="F432" s="19"/>
      <c r="G432" s="38" t="s">
        <v>426</v>
      </c>
      <c r="H432" s="38" t="s">
        <v>429</v>
      </c>
      <c r="I432" s="46" t="str">
        <f t="shared" si="33"/>
        <v>TS_Practice_IndiaDevOps Engineer</v>
      </c>
      <c r="J432" s="40" t="s">
        <v>430</v>
      </c>
      <c r="K432" s="38" t="s">
        <v>946</v>
      </c>
    </row>
    <row r="433" spans="7:11" x14ac:dyDescent="0.25">
      <c r="G433" s="38" t="s">
        <v>426</v>
      </c>
      <c r="H433" s="38" t="s">
        <v>427</v>
      </c>
      <c r="I433" s="46" t="str">
        <f t="shared" si="33"/>
        <v>TS_Practice_IndiaBusiness/Data Analyst</v>
      </c>
      <c r="J433" s="40" t="s">
        <v>431</v>
      </c>
      <c r="K433" s="38" t="s">
        <v>946</v>
      </c>
    </row>
    <row r="434" spans="7:11" x14ac:dyDescent="0.25">
      <c r="G434" s="38" t="s">
        <v>426</v>
      </c>
      <c r="H434" s="38" t="s">
        <v>432</v>
      </c>
      <c r="I434" s="46" t="str">
        <f t="shared" si="33"/>
        <v>TS_Practice_IndiaDeveloper</v>
      </c>
      <c r="J434" s="40" t="s">
        <v>433</v>
      </c>
      <c r="K434" s="38" t="s">
        <v>946</v>
      </c>
    </row>
    <row r="435" spans="7:11" x14ac:dyDescent="0.25">
      <c r="G435" s="38" t="s">
        <v>426</v>
      </c>
      <c r="H435" s="38" t="s">
        <v>432</v>
      </c>
      <c r="I435" s="46" t="str">
        <f t="shared" si="33"/>
        <v>TS_Practice_IndiaDeveloper</v>
      </c>
      <c r="J435" s="40" t="s">
        <v>434</v>
      </c>
      <c r="K435" s="38" t="s">
        <v>946</v>
      </c>
    </row>
    <row r="436" spans="7:11" x14ac:dyDescent="0.25">
      <c r="G436" s="38" t="s">
        <v>426</v>
      </c>
      <c r="H436" s="38" t="s">
        <v>432</v>
      </c>
      <c r="I436" s="46" t="str">
        <f t="shared" si="33"/>
        <v>TS_Practice_IndiaDeveloper</v>
      </c>
      <c r="J436" s="40" t="s">
        <v>435</v>
      </c>
      <c r="K436" s="38" t="s">
        <v>946</v>
      </c>
    </row>
    <row r="437" spans="7:11" x14ac:dyDescent="0.25">
      <c r="G437" s="38" t="s">
        <v>426</v>
      </c>
      <c r="H437" s="38" t="s">
        <v>313</v>
      </c>
      <c r="I437" s="46" t="str">
        <f t="shared" si="33"/>
        <v>TS_Practice_IndiaSolution Architect</v>
      </c>
      <c r="J437" s="40" t="s">
        <v>436</v>
      </c>
      <c r="K437" s="38" t="s">
        <v>946</v>
      </c>
    </row>
    <row r="438" spans="7:11" x14ac:dyDescent="0.25">
      <c r="G438" s="38" t="s">
        <v>426</v>
      </c>
      <c r="H438" s="38" t="s">
        <v>226</v>
      </c>
      <c r="I438" s="46" t="str">
        <f t="shared" si="33"/>
        <v>TS_Practice_IndiaSoftware Engineer</v>
      </c>
      <c r="J438" s="40" t="s">
        <v>437</v>
      </c>
      <c r="K438" s="38" t="s">
        <v>946</v>
      </c>
    </row>
    <row r="439" spans="7:11" x14ac:dyDescent="0.25">
      <c r="G439" s="38" t="s">
        <v>426</v>
      </c>
      <c r="H439" s="38" t="s">
        <v>438</v>
      </c>
      <c r="I439" s="46" t="str">
        <f t="shared" si="33"/>
        <v>TS_Practice_IndiaQA Tester - Automation</v>
      </c>
      <c r="J439" s="40" t="s">
        <v>439</v>
      </c>
      <c r="K439" s="38" t="s">
        <v>946</v>
      </c>
    </row>
    <row r="440" spans="7:11" x14ac:dyDescent="0.25">
      <c r="G440" s="38" t="s">
        <v>426</v>
      </c>
      <c r="H440" s="38" t="s">
        <v>432</v>
      </c>
      <c r="I440" s="46" t="str">
        <f t="shared" si="33"/>
        <v>TS_Practice_IndiaDeveloper</v>
      </c>
      <c r="J440" s="40" t="s">
        <v>440</v>
      </c>
      <c r="K440" s="38" t="s">
        <v>946</v>
      </c>
    </row>
    <row r="441" spans="7:11" x14ac:dyDescent="0.25">
      <c r="G441" s="38" t="s">
        <v>426</v>
      </c>
      <c r="H441" s="38" t="s">
        <v>427</v>
      </c>
      <c r="I441" s="46" t="str">
        <f t="shared" si="33"/>
        <v>TS_Practice_IndiaBusiness/Data Analyst</v>
      </c>
      <c r="J441" s="40" t="s">
        <v>441</v>
      </c>
      <c r="K441" s="38" t="s">
        <v>946</v>
      </c>
    </row>
    <row r="442" spans="7:11" x14ac:dyDescent="0.25">
      <c r="G442" s="38" t="s">
        <v>426</v>
      </c>
      <c r="H442" s="38" t="s">
        <v>226</v>
      </c>
      <c r="I442" s="46" t="str">
        <f t="shared" si="33"/>
        <v>TS_Practice_IndiaSoftware Engineer</v>
      </c>
      <c r="J442" s="40" t="s">
        <v>442</v>
      </c>
      <c r="K442" s="38" t="s">
        <v>946</v>
      </c>
    </row>
    <row r="443" spans="7:11" x14ac:dyDescent="0.25">
      <c r="G443" s="38" t="s">
        <v>426</v>
      </c>
      <c r="H443" s="38" t="s">
        <v>443</v>
      </c>
      <c r="I443" s="46" t="str">
        <f t="shared" si="33"/>
        <v>TS_Practice_IndiaSupport Engineer</v>
      </c>
      <c r="J443" s="40" t="s">
        <v>444</v>
      </c>
      <c r="K443" s="38" t="s">
        <v>946</v>
      </c>
    </row>
    <row r="444" spans="7:11" x14ac:dyDescent="0.25">
      <c r="G444" s="38" t="s">
        <v>426</v>
      </c>
      <c r="H444" s="38" t="s">
        <v>427</v>
      </c>
      <c r="I444" s="46" t="str">
        <f t="shared" si="33"/>
        <v>TS_Practice_IndiaBusiness/Data Analyst</v>
      </c>
      <c r="J444" s="40" t="s">
        <v>445</v>
      </c>
      <c r="K444" s="38" t="s">
        <v>946</v>
      </c>
    </row>
    <row r="445" spans="7:11" x14ac:dyDescent="0.25">
      <c r="G445" s="38" t="s">
        <v>426</v>
      </c>
      <c r="H445" s="38" t="s">
        <v>446</v>
      </c>
      <c r="I445" s="46" t="str">
        <f t="shared" si="33"/>
        <v>TS_Practice_IndiaSr. QA Tester - Manual</v>
      </c>
      <c r="J445" s="40" t="s">
        <v>447</v>
      </c>
      <c r="K445" s="38" t="s">
        <v>946</v>
      </c>
    </row>
    <row r="446" spans="7:11" x14ac:dyDescent="0.25">
      <c r="G446" s="38" t="s">
        <v>426</v>
      </c>
      <c r="H446" s="38" t="s">
        <v>448</v>
      </c>
      <c r="I446" s="46" t="str">
        <f t="shared" si="33"/>
        <v>TS_Practice_IndiaSr. Developer</v>
      </c>
      <c r="J446" s="40" t="s">
        <v>449</v>
      </c>
      <c r="K446" s="38" t="s">
        <v>946</v>
      </c>
    </row>
    <row r="447" spans="7:11" x14ac:dyDescent="0.25">
      <c r="G447" s="38" t="s">
        <v>426</v>
      </c>
      <c r="H447" s="38" t="s">
        <v>427</v>
      </c>
      <c r="I447" s="46" t="str">
        <f t="shared" si="33"/>
        <v>TS_Practice_IndiaBusiness/Data Analyst</v>
      </c>
      <c r="J447" s="40" t="s">
        <v>450</v>
      </c>
      <c r="K447" s="38" t="s">
        <v>946</v>
      </c>
    </row>
    <row r="448" spans="7:11" x14ac:dyDescent="0.25">
      <c r="G448" s="38" t="s">
        <v>426</v>
      </c>
      <c r="H448" s="38" t="s">
        <v>427</v>
      </c>
      <c r="I448" s="46" t="str">
        <f t="shared" si="33"/>
        <v>TS_Practice_IndiaBusiness/Data Analyst</v>
      </c>
      <c r="J448" s="40" t="s">
        <v>451</v>
      </c>
      <c r="K448" s="38" t="s">
        <v>946</v>
      </c>
    </row>
    <row r="449" spans="7:11" x14ac:dyDescent="0.25">
      <c r="G449" s="38" t="s">
        <v>426</v>
      </c>
      <c r="H449" s="38" t="s">
        <v>452</v>
      </c>
      <c r="I449" s="46" t="str">
        <f t="shared" si="33"/>
        <v>TS_Practice_IndiaSr. Data Engineer</v>
      </c>
      <c r="J449" s="40" t="s">
        <v>453</v>
      </c>
      <c r="K449" s="38" t="s">
        <v>946</v>
      </c>
    </row>
    <row r="450" spans="7:11" x14ac:dyDescent="0.25">
      <c r="G450" s="38" t="s">
        <v>426</v>
      </c>
      <c r="H450" s="38" t="s">
        <v>443</v>
      </c>
      <c r="I450" s="46" t="str">
        <f t="shared" si="33"/>
        <v>TS_Practice_IndiaSupport Engineer</v>
      </c>
      <c r="J450" s="40" t="s">
        <v>454</v>
      </c>
      <c r="K450" s="38" t="s">
        <v>946</v>
      </c>
    </row>
    <row r="451" spans="7:11" x14ac:dyDescent="0.25">
      <c r="G451" s="38" t="s">
        <v>426</v>
      </c>
      <c r="H451" s="38" t="s">
        <v>427</v>
      </c>
      <c r="I451" s="46" t="str">
        <f t="shared" si="33"/>
        <v>TS_Practice_IndiaBusiness/Data Analyst</v>
      </c>
      <c r="J451" s="40" t="s">
        <v>455</v>
      </c>
      <c r="K451" s="38" t="s">
        <v>946</v>
      </c>
    </row>
    <row r="452" spans="7:11" x14ac:dyDescent="0.25">
      <c r="G452" s="38" t="s">
        <v>426</v>
      </c>
      <c r="H452" s="38" t="s">
        <v>448</v>
      </c>
      <c r="I452" s="46" t="str">
        <f t="shared" si="33"/>
        <v>TS_Practice_IndiaSr. Developer</v>
      </c>
      <c r="J452" s="40" t="s">
        <v>456</v>
      </c>
      <c r="K452" s="38" t="s">
        <v>946</v>
      </c>
    </row>
    <row r="453" spans="7:11" x14ac:dyDescent="0.25">
      <c r="G453" s="38" t="s">
        <v>426</v>
      </c>
      <c r="H453" s="38" t="s">
        <v>443</v>
      </c>
      <c r="I453" s="46" t="str">
        <f t="shared" si="33"/>
        <v>TS_Practice_IndiaSupport Engineer</v>
      </c>
      <c r="J453" s="40" t="s">
        <v>457</v>
      </c>
      <c r="K453" s="38" t="s">
        <v>946</v>
      </c>
    </row>
    <row r="454" spans="7:11" x14ac:dyDescent="0.25">
      <c r="G454" s="38" t="s">
        <v>426</v>
      </c>
      <c r="H454" s="38" t="s">
        <v>458</v>
      </c>
      <c r="I454" s="46" t="str">
        <f t="shared" si="33"/>
        <v>TS_Practice_IndiaService Delivery Manager</v>
      </c>
      <c r="J454" s="40" t="s">
        <v>459</v>
      </c>
      <c r="K454" s="38" t="s">
        <v>946</v>
      </c>
    </row>
    <row r="455" spans="7:11" x14ac:dyDescent="0.25">
      <c r="G455" s="38" t="s">
        <v>426</v>
      </c>
      <c r="H455" s="38" t="s">
        <v>226</v>
      </c>
      <c r="I455" s="46" t="str">
        <f t="shared" si="33"/>
        <v>TS_Practice_IndiaSoftware Engineer</v>
      </c>
      <c r="J455" s="40" t="s">
        <v>460</v>
      </c>
      <c r="K455" s="38" t="s">
        <v>946</v>
      </c>
    </row>
    <row r="456" spans="7:11" x14ac:dyDescent="0.25">
      <c r="G456" s="38" t="s">
        <v>426</v>
      </c>
      <c r="H456" s="38" t="s">
        <v>432</v>
      </c>
      <c r="I456" s="46" t="str">
        <f t="shared" si="33"/>
        <v>TS_Practice_IndiaDeveloper</v>
      </c>
      <c r="J456" s="40" t="s">
        <v>461</v>
      </c>
      <c r="K456" s="38" t="s">
        <v>946</v>
      </c>
    </row>
    <row r="457" spans="7:11" x14ac:dyDescent="0.25">
      <c r="G457" s="38" t="s">
        <v>426</v>
      </c>
      <c r="H457" s="38" t="s">
        <v>443</v>
      </c>
      <c r="I457" s="46" t="str">
        <f t="shared" si="33"/>
        <v>TS_Practice_IndiaSupport Engineer</v>
      </c>
      <c r="J457" s="40" t="s">
        <v>462</v>
      </c>
      <c r="K457" s="38" t="s">
        <v>946</v>
      </c>
    </row>
    <row r="458" spans="7:11" x14ac:dyDescent="0.25">
      <c r="G458" s="38" t="s">
        <v>426</v>
      </c>
      <c r="H458" s="38" t="s">
        <v>226</v>
      </c>
      <c r="I458" s="46" t="str">
        <f t="shared" si="33"/>
        <v>TS_Practice_IndiaSoftware Engineer</v>
      </c>
      <c r="J458" s="40" t="s">
        <v>463</v>
      </c>
      <c r="K458" s="38" t="s">
        <v>946</v>
      </c>
    </row>
    <row r="459" spans="7:11" x14ac:dyDescent="0.25">
      <c r="G459" s="38" t="s">
        <v>426</v>
      </c>
      <c r="H459" s="38" t="s">
        <v>226</v>
      </c>
      <c r="I459" s="46" t="str">
        <f t="shared" si="33"/>
        <v>TS_Practice_IndiaSoftware Engineer</v>
      </c>
      <c r="J459" s="40" t="s">
        <v>464</v>
      </c>
      <c r="K459" s="38" t="s">
        <v>946</v>
      </c>
    </row>
    <row r="460" spans="7:11" x14ac:dyDescent="0.25">
      <c r="G460" s="38" t="s">
        <v>426</v>
      </c>
      <c r="H460" s="38" t="s">
        <v>226</v>
      </c>
      <c r="I460" s="46" t="str">
        <f t="shared" si="33"/>
        <v>TS_Practice_IndiaSoftware Engineer</v>
      </c>
      <c r="J460" s="40" t="s">
        <v>465</v>
      </c>
      <c r="K460" s="38" t="s">
        <v>946</v>
      </c>
    </row>
    <row r="461" spans="7:11" x14ac:dyDescent="0.25">
      <c r="G461" s="38" t="s">
        <v>426</v>
      </c>
      <c r="H461" s="38" t="s">
        <v>427</v>
      </c>
      <c r="I461" s="46" t="str">
        <f t="shared" si="33"/>
        <v>TS_Practice_IndiaBusiness/Data Analyst</v>
      </c>
      <c r="J461" s="40" t="s">
        <v>466</v>
      </c>
      <c r="K461" s="38" t="s">
        <v>946</v>
      </c>
    </row>
    <row r="462" spans="7:11" x14ac:dyDescent="0.25">
      <c r="G462" s="38" t="s">
        <v>426</v>
      </c>
      <c r="H462" s="38" t="s">
        <v>226</v>
      </c>
      <c r="I462" s="46" t="str">
        <f t="shared" si="33"/>
        <v>TS_Practice_IndiaSoftware Engineer</v>
      </c>
      <c r="J462" s="40" t="s">
        <v>467</v>
      </c>
      <c r="K462" s="38" t="s">
        <v>946</v>
      </c>
    </row>
    <row r="463" spans="7:11" x14ac:dyDescent="0.25">
      <c r="G463" s="38" t="s">
        <v>426</v>
      </c>
      <c r="H463" s="38" t="s">
        <v>468</v>
      </c>
      <c r="I463" s="46" t="str">
        <f t="shared" si="33"/>
        <v>TS_Practice_IndiaSr. QA Tester - Automation</v>
      </c>
      <c r="J463" s="40" t="s">
        <v>469</v>
      </c>
      <c r="K463" s="38" t="s">
        <v>946</v>
      </c>
    </row>
    <row r="464" spans="7:11" x14ac:dyDescent="0.25">
      <c r="G464" s="38" t="s">
        <v>426</v>
      </c>
      <c r="H464" s="38" t="s">
        <v>470</v>
      </c>
      <c r="I464" s="46" t="str">
        <f t="shared" si="33"/>
        <v>TS_Practice_IndiaTechnical Lead</v>
      </c>
      <c r="J464" s="40" t="s">
        <v>471</v>
      </c>
      <c r="K464" s="38" t="s">
        <v>946</v>
      </c>
    </row>
    <row r="465" spans="7:11" x14ac:dyDescent="0.25">
      <c r="G465" s="38" t="s">
        <v>426</v>
      </c>
      <c r="H465" s="38" t="s">
        <v>468</v>
      </c>
      <c r="I465" s="46" t="str">
        <f t="shared" si="33"/>
        <v>TS_Practice_IndiaSr. QA Tester - Automation</v>
      </c>
      <c r="J465" s="40" t="s">
        <v>472</v>
      </c>
      <c r="K465" s="38" t="s">
        <v>946</v>
      </c>
    </row>
    <row r="466" spans="7:11" x14ac:dyDescent="0.25">
      <c r="G466" s="38" t="s">
        <v>426</v>
      </c>
      <c r="H466" s="38" t="s">
        <v>226</v>
      </c>
      <c r="I466" s="46" t="str">
        <f t="shared" si="33"/>
        <v>TS_Practice_IndiaSoftware Engineer</v>
      </c>
      <c r="J466" s="40" t="s">
        <v>473</v>
      </c>
      <c r="K466" s="38" t="s">
        <v>946</v>
      </c>
    </row>
    <row r="467" spans="7:11" x14ac:dyDescent="0.25">
      <c r="G467" s="38" t="s">
        <v>426</v>
      </c>
      <c r="H467" s="38" t="s">
        <v>226</v>
      </c>
      <c r="I467" s="46" t="str">
        <f t="shared" si="33"/>
        <v>TS_Practice_IndiaSoftware Engineer</v>
      </c>
      <c r="J467" s="40" t="s">
        <v>474</v>
      </c>
      <c r="K467" s="38" t="s">
        <v>946</v>
      </c>
    </row>
    <row r="468" spans="7:11" x14ac:dyDescent="0.25">
      <c r="G468" s="38" t="s">
        <v>426</v>
      </c>
      <c r="H468" s="38" t="s">
        <v>226</v>
      </c>
      <c r="I468" s="46" t="str">
        <f t="shared" si="33"/>
        <v>TS_Practice_IndiaSoftware Engineer</v>
      </c>
      <c r="J468" s="40" t="s">
        <v>475</v>
      </c>
      <c r="K468" s="38" t="s">
        <v>946</v>
      </c>
    </row>
    <row r="469" spans="7:11" x14ac:dyDescent="0.25">
      <c r="G469" s="38" t="s">
        <v>426</v>
      </c>
      <c r="H469" s="38" t="s">
        <v>427</v>
      </c>
      <c r="I469" s="46" t="str">
        <f t="shared" si="33"/>
        <v>TS_Practice_IndiaBusiness/Data Analyst</v>
      </c>
      <c r="J469" s="40" t="s">
        <v>476</v>
      </c>
      <c r="K469" s="38" t="s">
        <v>946</v>
      </c>
    </row>
    <row r="470" spans="7:11" x14ac:dyDescent="0.25">
      <c r="G470" s="38" t="s">
        <v>426</v>
      </c>
      <c r="H470" s="38" t="s">
        <v>226</v>
      </c>
      <c r="I470" s="46" t="str">
        <f t="shared" si="33"/>
        <v>TS_Practice_IndiaSoftware Engineer</v>
      </c>
      <c r="J470" s="40" t="s">
        <v>477</v>
      </c>
      <c r="K470" s="38" t="s">
        <v>946</v>
      </c>
    </row>
    <row r="471" spans="7:11" x14ac:dyDescent="0.25">
      <c r="G471" s="38" t="s">
        <v>426</v>
      </c>
      <c r="H471" s="38" t="s">
        <v>446</v>
      </c>
      <c r="I471" s="46" t="str">
        <f t="shared" si="33"/>
        <v>TS_Practice_IndiaSr. QA Tester - Manual</v>
      </c>
      <c r="J471" s="40" t="s">
        <v>478</v>
      </c>
      <c r="K471" s="38" t="s">
        <v>946</v>
      </c>
    </row>
    <row r="472" spans="7:11" x14ac:dyDescent="0.25">
      <c r="G472" s="38" t="s">
        <v>426</v>
      </c>
      <c r="H472" s="38" t="s">
        <v>443</v>
      </c>
      <c r="I472" s="46" t="str">
        <f t="shared" si="33"/>
        <v>TS_Practice_IndiaSupport Engineer</v>
      </c>
      <c r="J472" s="40" t="s">
        <v>479</v>
      </c>
      <c r="K472" s="38" t="s">
        <v>946</v>
      </c>
    </row>
    <row r="473" spans="7:11" x14ac:dyDescent="0.25">
      <c r="G473" s="38" t="s">
        <v>426</v>
      </c>
      <c r="H473" s="38" t="s">
        <v>226</v>
      </c>
      <c r="I473" s="46" t="str">
        <f t="shared" si="33"/>
        <v>TS_Practice_IndiaSoftware Engineer</v>
      </c>
      <c r="J473" s="40" t="s">
        <v>480</v>
      </c>
      <c r="K473" s="38" t="s">
        <v>946</v>
      </c>
    </row>
    <row r="474" spans="7:11" x14ac:dyDescent="0.25">
      <c r="G474" s="38" t="s">
        <v>426</v>
      </c>
      <c r="H474" s="38" t="s">
        <v>226</v>
      </c>
      <c r="I474" s="46" t="str">
        <f t="shared" si="33"/>
        <v>TS_Practice_IndiaSoftware Engineer</v>
      </c>
      <c r="J474" s="40" t="s">
        <v>481</v>
      </c>
      <c r="K474" s="38" t="s">
        <v>946</v>
      </c>
    </row>
    <row r="475" spans="7:11" x14ac:dyDescent="0.25">
      <c r="G475" s="38" t="s">
        <v>426</v>
      </c>
      <c r="H475" s="38" t="s">
        <v>226</v>
      </c>
      <c r="I475" s="46" t="str">
        <f t="shared" si="33"/>
        <v>TS_Practice_IndiaSoftware Engineer</v>
      </c>
      <c r="J475" s="40" t="s">
        <v>482</v>
      </c>
      <c r="K475" s="38" t="s">
        <v>946</v>
      </c>
    </row>
    <row r="476" spans="7:11" x14ac:dyDescent="0.25">
      <c r="G476" s="38" t="s">
        <v>426</v>
      </c>
      <c r="H476" s="38" t="s">
        <v>446</v>
      </c>
      <c r="I476" s="46" t="str">
        <f t="shared" si="33"/>
        <v>TS_Practice_IndiaSr. QA Tester - Manual</v>
      </c>
      <c r="J476" s="40" t="s">
        <v>483</v>
      </c>
      <c r="K476" s="38" t="s">
        <v>946</v>
      </c>
    </row>
    <row r="477" spans="7:11" x14ac:dyDescent="0.25">
      <c r="G477" s="38" t="s">
        <v>426</v>
      </c>
      <c r="H477" s="38" t="s">
        <v>484</v>
      </c>
      <c r="I477" s="46" t="str">
        <f t="shared" si="33"/>
        <v>TS_Practice_IndiaQA Tester - Manual</v>
      </c>
      <c r="J477" s="40" t="s">
        <v>485</v>
      </c>
      <c r="K477" s="38" t="s">
        <v>946</v>
      </c>
    </row>
    <row r="478" spans="7:11" x14ac:dyDescent="0.25">
      <c r="G478" s="38" t="s">
        <v>426</v>
      </c>
      <c r="H478" s="38" t="s">
        <v>448</v>
      </c>
      <c r="I478" s="46" t="str">
        <f t="shared" si="33"/>
        <v>TS_Practice_IndiaSr. Developer</v>
      </c>
      <c r="J478" s="40" t="s">
        <v>486</v>
      </c>
      <c r="K478" s="38" t="s">
        <v>946</v>
      </c>
    </row>
    <row r="479" spans="7:11" x14ac:dyDescent="0.25">
      <c r="G479" s="38" t="s">
        <v>426</v>
      </c>
      <c r="H479" s="38" t="s">
        <v>470</v>
      </c>
      <c r="I479" s="46" t="str">
        <f t="shared" ref="I479:I538" si="34">_xlfn.CONCAT(G479,H479)</f>
        <v>TS_Practice_IndiaTechnical Lead</v>
      </c>
      <c r="J479" s="40" t="s">
        <v>487</v>
      </c>
      <c r="K479" s="38" t="s">
        <v>946</v>
      </c>
    </row>
    <row r="480" spans="7:11" x14ac:dyDescent="0.25">
      <c r="G480" s="38" t="s">
        <v>426</v>
      </c>
      <c r="H480" s="38" t="s">
        <v>446</v>
      </c>
      <c r="I480" s="46" t="str">
        <f t="shared" si="34"/>
        <v>TS_Practice_IndiaSr. QA Tester - Manual</v>
      </c>
      <c r="J480" s="40" t="s">
        <v>488</v>
      </c>
      <c r="K480" s="38" t="s">
        <v>946</v>
      </c>
    </row>
    <row r="481" spans="7:11" x14ac:dyDescent="0.25">
      <c r="G481" s="38" t="s">
        <v>426</v>
      </c>
      <c r="H481" s="38" t="s">
        <v>226</v>
      </c>
      <c r="I481" s="46" t="str">
        <f t="shared" si="34"/>
        <v>TS_Practice_IndiaSoftware Engineer</v>
      </c>
      <c r="J481" s="40" t="s">
        <v>489</v>
      </c>
      <c r="K481" s="38" t="s">
        <v>946</v>
      </c>
    </row>
    <row r="482" spans="7:11" x14ac:dyDescent="0.25">
      <c r="G482" s="38" t="s">
        <v>426</v>
      </c>
      <c r="H482" s="38" t="s">
        <v>468</v>
      </c>
      <c r="I482" s="46" t="str">
        <f t="shared" si="34"/>
        <v>TS_Practice_IndiaSr. QA Tester - Automation</v>
      </c>
      <c r="J482" s="40" t="s">
        <v>490</v>
      </c>
      <c r="K482" s="38" t="s">
        <v>946</v>
      </c>
    </row>
    <row r="483" spans="7:11" x14ac:dyDescent="0.25">
      <c r="G483" s="38" t="s">
        <v>426</v>
      </c>
      <c r="H483" s="38" t="s">
        <v>427</v>
      </c>
      <c r="I483" s="46" t="str">
        <f t="shared" si="34"/>
        <v>TS_Practice_IndiaBusiness/Data Analyst</v>
      </c>
      <c r="J483" s="40" t="s">
        <v>491</v>
      </c>
      <c r="K483" s="38" t="s">
        <v>946</v>
      </c>
    </row>
    <row r="484" spans="7:11" x14ac:dyDescent="0.25">
      <c r="G484" s="38" t="s">
        <v>426</v>
      </c>
      <c r="H484" s="38" t="s">
        <v>432</v>
      </c>
      <c r="I484" s="46" t="str">
        <f t="shared" si="34"/>
        <v>TS_Practice_IndiaDeveloper</v>
      </c>
      <c r="J484" s="40" t="s">
        <v>492</v>
      </c>
      <c r="K484" s="38" t="s">
        <v>946</v>
      </c>
    </row>
    <row r="485" spans="7:11" x14ac:dyDescent="0.25">
      <c r="G485" s="38" t="s">
        <v>426</v>
      </c>
      <c r="H485" s="38" t="s">
        <v>446</v>
      </c>
      <c r="I485" s="46" t="str">
        <f t="shared" si="34"/>
        <v>TS_Practice_IndiaSr. QA Tester - Manual</v>
      </c>
      <c r="J485" s="40" t="s">
        <v>493</v>
      </c>
      <c r="K485" s="38" t="s">
        <v>946</v>
      </c>
    </row>
    <row r="486" spans="7:11" x14ac:dyDescent="0.25">
      <c r="G486" s="38" t="s">
        <v>426</v>
      </c>
      <c r="H486" s="38" t="s">
        <v>448</v>
      </c>
      <c r="I486" s="46" t="str">
        <f t="shared" si="34"/>
        <v>TS_Practice_IndiaSr. Developer</v>
      </c>
      <c r="J486" s="40" t="s">
        <v>494</v>
      </c>
      <c r="K486" s="38" t="s">
        <v>946</v>
      </c>
    </row>
    <row r="487" spans="7:11" x14ac:dyDescent="0.25">
      <c r="G487" s="38" t="s">
        <v>426</v>
      </c>
      <c r="H487" s="38" t="s">
        <v>484</v>
      </c>
      <c r="I487" s="46" t="str">
        <f t="shared" si="34"/>
        <v>TS_Practice_IndiaQA Tester - Manual</v>
      </c>
      <c r="J487" s="40" t="s">
        <v>495</v>
      </c>
      <c r="K487" s="38" t="s">
        <v>946</v>
      </c>
    </row>
    <row r="488" spans="7:11" x14ac:dyDescent="0.25">
      <c r="G488" s="38" t="s">
        <v>426</v>
      </c>
      <c r="H488" s="38" t="s">
        <v>226</v>
      </c>
      <c r="I488" s="46" t="str">
        <f t="shared" si="34"/>
        <v>TS_Practice_IndiaSoftware Engineer</v>
      </c>
      <c r="J488" s="40" t="s">
        <v>496</v>
      </c>
      <c r="K488" s="38" t="s">
        <v>946</v>
      </c>
    </row>
    <row r="489" spans="7:11" x14ac:dyDescent="0.25">
      <c r="G489" s="38" t="s">
        <v>426</v>
      </c>
      <c r="H489" s="38" t="s">
        <v>226</v>
      </c>
      <c r="I489" s="46" t="str">
        <f t="shared" si="34"/>
        <v>TS_Practice_IndiaSoftware Engineer</v>
      </c>
      <c r="J489" s="40" t="s">
        <v>497</v>
      </c>
      <c r="K489" s="38" t="s">
        <v>946</v>
      </c>
    </row>
    <row r="490" spans="7:11" x14ac:dyDescent="0.25">
      <c r="G490" s="38" t="s">
        <v>426</v>
      </c>
      <c r="H490" s="38" t="s">
        <v>226</v>
      </c>
      <c r="I490" s="46" t="str">
        <f t="shared" si="34"/>
        <v>TS_Practice_IndiaSoftware Engineer</v>
      </c>
      <c r="J490" s="40" t="s">
        <v>498</v>
      </c>
      <c r="K490" s="38" t="s">
        <v>946</v>
      </c>
    </row>
    <row r="491" spans="7:11" x14ac:dyDescent="0.25">
      <c r="G491" s="38" t="s">
        <v>426</v>
      </c>
      <c r="H491" s="38" t="s">
        <v>446</v>
      </c>
      <c r="I491" s="46" t="str">
        <f t="shared" si="34"/>
        <v>TS_Practice_IndiaSr. QA Tester - Manual</v>
      </c>
      <c r="J491" s="40" t="s">
        <v>499</v>
      </c>
      <c r="K491" s="38" t="s">
        <v>946</v>
      </c>
    </row>
    <row r="492" spans="7:11" x14ac:dyDescent="0.25">
      <c r="G492" s="38" t="s">
        <v>426</v>
      </c>
      <c r="H492" s="38" t="s">
        <v>448</v>
      </c>
      <c r="I492" s="46" t="str">
        <f t="shared" si="34"/>
        <v>TS_Practice_IndiaSr. Developer</v>
      </c>
      <c r="J492" s="40" t="s">
        <v>500</v>
      </c>
      <c r="K492" s="38" t="s">
        <v>946</v>
      </c>
    </row>
    <row r="493" spans="7:11" x14ac:dyDescent="0.25">
      <c r="G493" s="38" t="s">
        <v>426</v>
      </c>
      <c r="H493" s="38" t="s">
        <v>458</v>
      </c>
      <c r="I493" s="46" t="str">
        <f t="shared" si="34"/>
        <v>TS_Practice_IndiaService Delivery Manager</v>
      </c>
      <c r="J493" s="40" t="s">
        <v>501</v>
      </c>
      <c r="K493" s="38" t="s">
        <v>946</v>
      </c>
    </row>
    <row r="494" spans="7:11" x14ac:dyDescent="0.25">
      <c r="G494" s="38" t="s">
        <v>426</v>
      </c>
      <c r="H494" s="38" t="s">
        <v>470</v>
      </c>
      <c r="I494" s="46" t="str">
        <f t="shared" si="34"/>
        <v>TS_Practice_IndiaTechnical Lead</v>
      </c>
      <c r="J494" s="40" t="s">
        <v>502</v>
      </c>
      <c r="K494" s="38" t="s">
        <v>946</v>
      </c>
    </row>
    <row r="495" spans="7:11" x14ac:dyDescent="0.25">
      <c r="G495" s="38" t="s">
        <v>426</v>
      </c>
      <c r="H495" s="38" t="s">
        <v>432</v>
      </c>
      <c r="I495" s="46" t="str">
        <f t="shared" si="34"/>
        <v>TS_Practice_IndiaDeveloper</v>
      </c>
      <c r="J495" s="40" t="s">
        <v>503</v>
      </c>
      <c r="K495" s="38" t="s">
        <v>946</v>
      </c>
    </row>
    <row r="496" spans="7:11" x14ac:dyDescent="0.25">
      <c r="G496" s="38" t="s">
        <v>426</v>
      </c>
      <c r="H496" s="38" t="s">
        <v>504</v>
      </c>
      <c r="I496" s="46" t="str">
        <f t="shared" si="34"/>
        <v>TS_Practice_IndiaSr. Technical Lead</v>
      </c>
      <c r="J496" s="40" t="s">
        <v>505</v>
      </c>
      <c r="K496" s="38" t="s">
        <v>946</v>
      </c>
    </row>
    <row r="497" spans="7:11" x14ac:dyDescent="0.25">
      <c r="G497" s="38" t="s">
        <v>426</v>
      </c>
      <c r="H497" s="38" t="s">
        <v>506</v>
      </c>
      <c r="I497" s="46" t="str">
        <f t="shared" si="34"/>
        <v>TS_Practice_IndiaSr. DBA</v>
      </c>
      <c r="J497" s="40" t="s">
        <v>507</v>
      </c>
      <c r="K497" s="38" t="s">
        <v>946</v>
      </c>
    </row>
    <row r="498" spans="7:11" x14ac:dyDescent="0.25">
      <c r="G498" s="38" t="s">
        <v>426</v>
      </c>
      <c r="H498" s="38" t="s">
        <v>448</v>
      </c>
      <c r="I498" s="46" t="str">
        <f t="shared" si="34"/>
        <v>TS_Practice_IndiaSr. Developer</v>
      </c>
      <c r="J498" s="40" t="s">
        <v>508</v>
      </c>
      <c r="K498" s="38" t="s">
        <v>946</v>
      </c>
    </row>
    <row r="499" spans="7:11" x14ac:dyDescent="0.25">
      <c r="G499" s="38" t="s">
        <v>426</v>
      </c>
      <c r="H499" s="38" t="s">
        <v>443</v>
      </c>
      <c r="I499" s="46" t="str">
        <f t="shared" si="34"/>
        <v>TS_Practice_IndiaSupport Engineer</v>
      </c>
      <c r="J499" s="40" t="s">
        <v>509</v>
      </c>
      <c r="K499" s="38" t="s">
        <v>946</v>
      </c>
    </row>
    <row r="500" spans="7:11" x14ac:dyDescent="0.25">
      <c r="G500" s="38" t="s">
        <v>426</v>
      </c>
      <c r="H500" s="38" t="s">
        <v>468</v>
      </c>
      <c r="I500" s="46" t="str">
        <f t="shared" si="34"/>
        <v>TS_Practice_IndiaSr. QA Tester - Automation</v>
      </c>
      <c r="J500" s="40" t="s">
        <v>510</v>
      </c>
      <c r="K500" s="38" t="s">
        <v>946</v>
      </c>
    </row>
    <row r="501" spans="7:11" x14ac:dyDescent="0.25">
      <c r="G501" s="38" t="s">
        <v>426</v>
      </c>
      <c r="H501" s="38" t="s">
        <v>226</v>
      </c>
      <c r="I501" s="46" t="str">
        <f t="shared" si="34"/>
        <v>TS_Practice_IndiaSoftware Engineer</v>
      </c>
      <c r="J501" s="40" t="s">
        <v>511</v>
      </c>
      <c r="K501" s="38" t="s">
        <v>946</v>
      </c>
    </row>
    <row r="502" spans="7:11" x14ac:dyDescent="0.25">
      <c r="G502" s="38" t="s">
        <v>426</v>
      </c>
      <c r="H502" s="38" t="s">
        <v>448</v>
      </c>
      <c r="I502" s="46" t="str">
        <f t="shared" si="34"/>
        <v>TS_Practice_IndiaSr. Developer</v>
      </c>
      <c r="J502" s="40" t="s">
        <v>512</v>
      </c>
      <c r="K502" s="38" t="s">
        <v>946</v>
      </c>
    </row>
    <row r="503" spans="7:11" x14ac:dyDescent="0.25">
      <c r="G503" s="38" t="s">
        <v>426</v>
      </c>
      <c r="H503" s="38" t="s">
        <v>470</v>
      </c>
      <c r="I503" s="46" t="str">
        <f t="shared" si="34"/>
        <v>TS_Practice_IndiaTechnical Lead</v>
      </c>
      <c r="J503" s="40" t="s">
        <v>513</v>
      </c>
      <c r="K503" s="38" t="s">
        <v>946</v>
      </c>
    </row>
    <row r="504" spans="7:11" x14ac:dyDescent="0.25">
      <c r="G504" s="38" t="s">
        <v>426</v>
      </c>
      <c r="H504" s="38" t="s">
        <v>432</v>
      </c>
      <c r="I504" s="46" t="str">
        <f t="shared" si="34"/>
        <v>TS_Practice_IndiaDeveloper</v>
      </c>
      <c r="J504" s="40" t="s">
        <v>514</v>
      </c>
      <c r="K504" s="38" t="s">
        <v>946</v>
      </c>
    </row>
    <row r="505" spans="7:11" x14ac:dyDescent="0.25">
      <c r="G505" s="38" t="s">
        <v>426</v>
      </c>
      <c r="H505" s="38" t="s">
        <v>226</v>
      </c>
      <c r="I505" s="46" t="str">
        <f t="shared" si="34"/>
        <v>TS_Practice_IndiaSoftware Engineer</v>
      </c>
      <c r="J505" s="40" t="s">
        <v>515</v>
      </c>
      <c r="K505" s="38" t="s">
        <v>946</v>
      </c>
    </row>
    <row r="506" spans="7:11" x14ac:dyDescent="0.25">
      <c r="G506" s="38" t="s">
        <v>426</v>
      </c>
      <c r="H506" s="38" t="s">
        <v>432</v>
      </c>
      <c r="I506" s="46" t="str">
        <f t="shared" si="34"/>
        <v>TS_Practice_IndiaDeveloper</v>
      </c>
      <c r="J506" s="40" t="s">
        <v>516</v>
      </c>
      <c r="K506" s="38" t="s">
        <v>946</v>
      </c>
    </row>
    <row r="507" spans="7:11" x14ac:dyDescent="0.25">
      <c r="G507" s="38" t="s">
        <v>426</v>
      </c>
      <c r="H507" s="38" t="s">
        <v>432</v>
      </c>
      <c r="I507" s="46" t="str">
        <f t="shared" si="34"/>
        <v>TS_Practice_IndiaDeveloper</v>
      </c>
      <c r="J507" s="40" t="s">
        <v>517</v>
      </c>
      <c r="K507" s="38" t="s">
        <v>946</v>
      </c>
    </row>
    <row r="508" spans="7:11" x14ac:dyDescent="0.25">
      <c r="G508" s="38" t="s">
        <v>426</v>
      </c>
      <c r="H508" s="38" t="s">
        <v>484</v>
      </c>
      <c r="I508" s="46" t="str">
        <f t="shared" si="34"/>
        <v>TS_Practice_IndiaQA Tester - Manual</v>
      </c>
      <c r="J508" s="40" t="s">
        <v>518</v>
      </c>
      <c r="K508" s="38" t="s">
        <v>946</v>
      </c>
    </row>
    <row r="509" spans="7:11" x14ac:dyDescent="0.25">
      <c r="G509" s="38" t="s">
        <v>426</v>
      </c>
      <c r="H509" s="38" t="s">
        <v>226</v>
      </c>
      <c r="I509" s="46" t="str">
        <f t="shared" si="34"/>
        <v>TS_Practice_IndiaSoftware Engineer</v>
      </c>
      <c r="J509" s="40" t="s">
        <v>519</v>
      </c>
      <c r="K509" s="38" t="s">
        <v>946</v>
      </c>
    </row>
    <row r="510" spans="7:11" x14ac:dyDescent="0.25">
      <c r="G510" s="38" t="s">
        <v>426</v>
      </c>
      <c r="H510" s="38" t="s">
        <v>429</v>
      </c>
      <c r="I510" s="46" t="str">
        <f t="shared" si="34"/>
        <v>TS_Practice_IndiaDevOps Engineer</v>
      </c>
      <c r="J510" s="40" t="s">
        <v>520</v>
      </c>
      <c r="K510" s="38" t="s">
        <v>946</v>
      </c>
    </row>
    <row r="511" spans="7:11" x14ac:dyDescent="0.25">
      <c r="G511" s="38" t="s">
        <v>426</v>
      </c>
      <c r="H511" s="38" t="s">
        <v>470</v>
      </c>
      <c r="I511" s="46" t="str">
        <f t="shared" si="34"/>
        <v>TS_Practice_IndiaTechnical Lead</v>
      </c>
      <c r="J511" s="40" t="s">
        <v>521</v>
      </c>
      <c r="K511" s="38" t="s">
        <v>946</v>
      </c>
    </row>
    <row r="512" spans="7:11" x14ac:dyDescent="0.25">
      <c r="G512" s="38" t="s">
        <v>426</v>
      </c>
      <c r="H512" s="38" t="s">
        <v>226</v>
      </c>
      <c r="I512" s="46" t="str">
        <f t="shared" si="34"/>
        <v>TS_Practice_IndiaSoftware Engineer</v>
      </c>
      <c r="J512" s="40" t="s">
        <v>522</v>
      </c>
      <c r="K512" s="38" t="s">
        <v>946</v>
      </c>
    </row>
    <row r="513" spans="7:11" x14ac:dyDescent="0.25">
      <c r="G513" s="38" t="s">
        <v>426</v>
      </c>
      <c r="H513" s="38" t="s">
        <v>448</v>
      </c>
      <c r="I513" s="46" t="str">
        <f t="shared" si="34"/>
        <v>TS_Practice_IndiaSr. Developer</v>
      </c>
      <c r="J513" s="40" t="s">
        <v>523</v>
      </c>
      <c r="K513" s="38" t="s">
        <v>946</v>
      </c>
    </row>
    <row r="514" spans="7:11" x14ac:dyDescent="0.25">
      <c r="G514" s="38" t="s">
        <v>426</v>
      </c>
      <c r="H514" s="38" t="s">
        <v>452</v>
      </c>
      <c r="I514" s="46" t="str">
        <f t="shared" si="34"/>
        <v>TS_Practice_IndiaSr. Data Engineer</v>
      </c>
      <c r="J514" s="40" t="s">
        <v>524</v>
      </c>
      <c r="K514" s="38" t="s">
        <v>946</v>
      </c>
    </row>
    <row r="515" spans="7:11" x14ac:dyDescent="0.25">
      <c r="G515" s="38" t="s">
        <v>426</v>
      </c>
      <c r="H515" s="38" t="s">
        <v>226</v>
      </c>
      <c r="I515" s="46" t="str">
        <f t="shared" si="34"/>
        <v>TS_Practice_IndiaSoftware Engineer</v>
      </c>
      <c r="J515" s="40" t="s">
        <v>525</v>
      </c>
      <c r="K515" s="38" t="s">
        <v>946</v>
      </c>
    </row>
    <row r="516" spans="7:11" x14ac:dyDescent="0.25">
      <c r="G516" s="38" t="s">
        <v>526</v>
      </c>
      <c r="H516" s="38" t="s">
        <v>200</v>
      </c>
      <c r="I516" s="46" t="str">
        <f t="shared" si="34"/>
        <v>TS_Practice_USAProject Manager</v>
      </c>
      <c r="J516" s="40" t="s">
        <v>527</v>
      </c>
      <c r="K516" s="38" t="s">
        <v>776</v>
      </c>
    </row>
    <row r="517" spans="7:11" x14ac:dyDescent="0.25">
      <c r="G517" s="38" t="s">
        <v>526</v>
      </c>
      <c r="H517" s="38" t="s">
        <v>200</v>
      </c>
      <c r="I517" s="46" t="str">
        <f t="shared" si="34"/>
        <v>TS_Practice_USAProject Manager</v>
      </c>
      <c r="J517" s="40" t="s">
        <v>528</v>
      </c>
      <c r="K517" s="38" t="s">
        <v>776</v>
      </c>
    </row>
    <row r="518" spans="7:11" x14ac:dyDescent="0.25">
      <c r="G518" s="38" t="s">
        <v>526</v>
      </c>
      <c r="H518" s="38" t="s">
        <v>206</v>
      </c>
      <c r="I518" s="46" t="str">
        <f t="shared" si="34"/>
        <v>TS_Practice_USAArchitect</v>
      </c>
      <c r="J518" s="40" t="s">
        <v>529</v>
      </c>
      <c r="K518" s="38" t="s">
        <v>776</v>
      </c>
    </row>
    <row r="519" spans="7:11" x14ac:dyDescent="0.25">
      <c r="G519" s="38" t="s">
        <v>526</v>
      </c>
      <c r="H519" s="38" t="s">
        <v>530</v>
      </c>
      <c r="I519" s="46" t="str">
        <f t="shared" si="34"/>
        <v>TS_Practice_USASr. Architect</v>
      </c>
      <c r="J519" s="40" t="s">
        <v>531</v>
      </c>
      <c r="K519" s="38" t="s">
        <v>776</v>
      </c>
    </row>
    <row r="520" spans="7:11" x14ac:dyDescent="0.25">
      <c r="G520" s="38" t="s">
        <v>526</v>
      </c>
      <c r="H520" s="38" t="s">
        <v>195</v>
      </c>
      <c r="I520" s="46" t="str">
        <f t="shared" si="34"/>
        <v>TS_Practice_USAProgram Manager</v>
      </c>
      <c r="J520" s="40" t="s">
        <v>532</v>
      </c>
      <c r="K520" s="38" t="s">
        <v>776</v>
      </c>
    </row>
    <row r="521" spans="7:11" x14ac:dyDescent="0.25">
      <c r="G521" s="38" t="s">
        <v>526</v>
      </c>
      <c r="H521" s="38" t="s">
        <v>470</v>
      </c>
      <c r="I521" s="46" t="str">
        <f t="shared" si="34"/>
        <v>TS_Practice_USATechnical Lead</v>
      </c>
      <c r="J521" s="40" t="s">
        <v>533</v>
      </c>
      <c r="K521" s="38" t="s">
        <v>776</v>
      </c>
    </row>
    <row r="522" spans="7:11" x14ac:dyDescent="0.25">
      <c r="G522" s="38" t="s">
        <v>526</v>
      </c>
      <c r="H522" s="38" t="s">
        <v>534</v>
      </c>
      <c r="I522" s="46" t="str">
        <f t="shared" si="34"/>
        <v>TS_Practice_USASecurity Engineer</v>
      </c>
      <c r="J522" s="40" t="s">
        <v>535</v>
      </c>
      <c r="K522" s="38" t="s">
        <v>776</v>
      </c>
    </row>
    <row r="523" spans="7:11" x14ac:dyDescent="0.25">
      <c r="G523" s="38" t="s">
        <v>526</v>
      </c>
      <c r="H523" s="38" t="s">
        <v>534</v>
      </c>
      <c r="I523" s="46" t="str">
        <f t="shared" si="34"/>
        <v>TS_Practice_USASecurity Engineer</v>
      </c>
      <c r="J523" s="40" t="s">
        <v>536</v>
      </c>
      <c r="K523" s="38" t="s">
        <v>776</v>
      </c>
    </row>
    <row r="524" spans="7:11" x14ac:dyDescent="0.25">
      <c r="G524" s="38" t="s">
        <v>526</v>
      </c>
      <c r="H524" s="38" t="s">
        <v>534</v>
      </c>
      <c r="I524" s="362" t="str">
        <f t="shared" si="34"/>
        <v>TS_Practice_USASecurity Engineer</v>
      </c>
      <c r="J524" s="40" t="s">
        <v>537</v>
      </c>
      <c r="K524" s="38" t="s">
        <v>776</v>
      </c>
    </row>
    <row r="525" spans="7:11" x14ac:dyDescent="0.25">
      <c r="G525" s="38" t="s">
        <v>526</v>
      </c>
      <c r="H525" s="38" t="s">
        <v>534</v>
      </c>
      <c r="I525" s="46" t="str">
        <f t="shared" si="34"/>
        <v>TS_Practice_USASecurity Engineer</v>
      </c>
      <c r="J525" s="40" t="s">
        <v>538</v>
      </c>
      <c r="K525" s="38" t="s">
        <v>776</v>
      </c>
    </row>
    <row r="526" spans="7:11" x14ac:dyDescent="0.25">
      <c r="G526" s="38" t="s">
        <v>526</v>
      </c>
      <c r="H526" s="38" t="s">
        <v>432</v>
      </c>
      <c r="I526" s="46" t="str">
        <f t="shared" si="34"/>
        <v>TS_Practice_USADeveloper</v>
      </c>
      <c r="J526" s="40" t="s">
        <v>539</v>
      </c>
      <c r="K526" s="38" t="s">
        <v>776</v>
      </c>
    </row>
    <row r="527" spans="7:11" x14ac:dyDescent="0.25">
      <c r="G527" s="38" t="s">
        <v>526</v>
      </c>
      <c r="H527" s="38" t="s">
        <v>432</v>
      </c>
      <c r="I527" s="46" t="str">
        <f t="shared" si="34"/>
        <v>TS_Practice_USADeveloper</v>
      </c>
      <c r="J527" s="40" t="s">
        <v>540</v>
      </c>
      <c r="K527" s="38" t="s">
        <v>776</v>
      </c>
    </row>
    <row r="528" spans="7:11" x14ac:dyDescent="0.25">
      <c r="G528" s="38" t="s">
        <v>526</v>
      </c>
      <c r="H528" s="38" t="s">
        <v>432</v>
      </c>
      <c r="I528" s="46" t="str">
        <f t="shared" si="34"/>
        <v>TS_Practice_USADeveloper</v>
      </c>
      <c r="J528" s="40" t="s">
        <v>541</v>
      </c>
      <c r="K528" s="38" t="s">
        <v>776</v>
      </c>
    </row>
    <row r="529" spans="7:11" x14ac:dyDescent="0.25">
      <c r="G529" s="38" t="s">
        <v>526</v>
      </c>
      <c r="H529" s="38" t="s">
        <v>432</v>
      </c>
      <c r="I529" s="46" t="str">
        <f t="shared" si="34"/>
        <v>TS_Practice_USADeveloper</v>
      </c>
      <c r="J529" s="40" t="s">
        <v>542</v>
      </c>
      <c r="K529" s="38" t="s">
        <v>776</v>
      </c>
    </row>
    <row r="530" spans="7:11" x14ac:dyDescent="0.25">
      <c r="G530" s="38" t="s">
        <v>526</v>
      </c>
      <c r="H530" s="38" t="s">
        <v>272</v>
      </c>
      <c r="I530" s="46" t="str">
        <f t="shared" si="34"/>
        <v>TS_Practice_USASr. Application Developer</v>
      </c>
      <c r="J530" s="40" t="s">
        <v>543</v>
      </c>
      <c r="K530" s="38" t="s">
        <v>776</v>
      </c>
    </row>
    <row r="531" spans="7:11" x14ac:dyDescent="0.25">
      <c r="G531" s="38" t="s">
        <v>526</v>
      </c>
      <c r="H531" s="38" t="s">
        <v>313</v>
      </c>
      <c r="I531" s="46" t="str">
        <f t="shared" si="34"/>
        <v>TS_Practice_USASolution Architect</v>
      </c>
      <c r="J531" s="40" t="s">
        <v>544</v>
      </c>
      <c r="K531" s="38" t="s">
        <v>776</v>
      </c>
    </row>
    <row r="532" spans="7:11" x14ac:dyDescent="0.25">
      <c r="G532" s="38" t="s">
        <v>526</v>
      </c>
      <c r="H532" s="38" t="s">
        <v>432</v>
      </c>
      <c r="I532" s="46" t="str">
        <f t="shared" si="34"/>
        <v>TS_Practice_USADeveloper</v>
      </c>
      <c r="J532" s="40" t="s">
        <v>545</v>
      </c>
      <c r="K532" s="38" t="s">
        <v>776</v>
      </c>
    </row>
    <row r="533" spans="7:11" x14ac:dyDescent="0.25">
      <c r="G533" s="38" t="s">
        <v>526</v>
      </c>
      <c r="H533" s="38" t="s">
        <v>484</v>
      </c>
      <c r="I533" s="46" t="str">
        <f t="shared" si="34"/>
        <v>TS_Practice_USAQA Tester - Manual</v>
      </c>
      <c r="J533" s="40" t="s">
        <v>546</v>
      </c>
      <c r="K533" s="38" t="s">
        <v>776</v>
      </c>
    </row>
    <row r="534" spans="7:11" x14ac:dyDescent="0.25">
      <c r="G534" s="38" t="s">
        <v>526</v>
      </c>
      <c r="H534" s="38" t="s">
        <v>427</v>
      </c>
      <c r="I534" s="46" t="str">
        <f t="shared" si="34"/>
        <v>TS_Practice_USABusiness/Data Analyst</v>
      </c>
      <c r="J534" s="40" t="s">
        <v>547</v>
      </c>
      <c r="K534" s="38" t="s">
        <v>776</v>
      </c>
    </row>
    <row r="535" spans="7:11" x14ac:dyDescent="0.25">
      <c r="I535" s="46" t="str">
        <f t="shared" si="34"/>
        <v/>
      </c>
      <c r="J535" s="40"/>
      <c r="K535" s="38"/>
    </row>
    <row r="536" spans="7:11" x14ac:dyDescent="0.25">
      <c r="I536" s="46" t="str">
        <f t="shared" si="34"/>
        <v/>
      </c>
    </row>
    <row r="537" spans="7:11" x14ac:dyDescent="0.25">
      <c r="I537" s="46" t="str">
        <f t="shared" si="34"/>
        <v/>
      </c>
    </row>
    <row r="538" spans="7:11" x14ac:dyDescent="0.25">
      <c r="I538" s="46" t="str">
        <f t="shared" si="34"/>
        <v/>
      </c>
    </row>
  </sheetData>
  <sheetProtection algorithmName="SHA-512" hashValue="0FhCHh6C3fh3ZidXHvqqWM5wr+NXsn/fw2PP6ndfAS0PFcC5z9f4BzlasPqxgPAucpv9UPcFo0DcV8RuBRdtZg==" saltValue="ROK4YtCeKggd8zs61FCScw==" spinCount="100000" sheet="1" objects="1" scenarios="1"/>
  <autoFilter ref="A1:S256" xr:uid="{A989772E-BE93-43A7-8100-2EFFF3C756B1}">
    <sortState xmlns:xlrd2="http://schemas.microsoft.com/office/spreadsheetml/2017/richdata2" ref="A2:S256">
      <sortCondition ref="C1:C256"/>
    </sortState>
  </autoFilter>
  <sortState xmlns:xlrd2="http://schemas.microsoft.com/office/spreadsheetml/2017/richdata2" ref="M3:R16">
    <sortCondition ref="P3:P16"/>
  </sortState>
  <phoneticPr fontId="3"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EEBC6-8125-43B3-AA23-EC64F1D221C7}">
  <sheetPr codeName="Sheet7"/>
  <dimension ref="A1:C19"/>
  <sheetViews>
    <sheetView workbookViewId="0">
      <selection activeCell="B1" sqref="B1"/>
    </sheetView>
  </sheetViews>
  <sheetFormatPr defaultRowHeight="15" x14ac:dyDescent="0.25"/>
  <cols>
    <col min="1" max="1" width="4" style="182" customWidth="1"/>
    <col min="2" max="2" width="91.28515625" customWidth="1"/>
  </cols>
  <sheetData>
    <row r="1" spans="1:3" ht="18.75" x14ac:dyDescent="0.3">
      <c r="A1" s="183"/>
      <c r="B1" s="186" t="s">
        <v>1100</v>
      </c>
    </row>
    <row r="2" spans="1:3" x14ac:dyDescent="0.25">
      <c r="A2" s="182">
        <v>1</v>
      </c>
      <c r="B2" t="s">
        <v>1101</v>
      </c>
    </row>
    <row r="3" spans="1:3" x14ac:dyDescent="0.25">
      <c r="A3" s="182">
        <v>2</v>
      </c>
      <c r="B3" t="s">
        <v>1102</v>
      </c>
    </row>
    <row r="4" spans="1:3" x14ac:dyDescent="0.25">
      <c r="A4" s="182">
        <v>3</v>
      </c>
      <c r="B4" t="s">
        <v>1103</v>
      </c>
    </row>
    <row r="5" spans="1:3" x14ac:dyDescent="0.25">
      <c r="A5" s="182">
        <v>4</v>
      </c>
      <c r="B5" t="s">
        <v>1104</v>
      </c>
    </row>
    <row r="6" spans="1:3" x14ac:dyDescent="0.25">
      <c r="A6" s="182">
        <v>5</v>
      </c>
      <c r="B6" t="s">
        <v>1105</v>
      </c>
    </row>
    <row r="7" spans="1:3" ht="30" x14ac:dyDescent="0.25">
      <c r="A7" s="182">
        <v>6</v>
      </c>
      <c r="B7" s="111" t="s">
        <v>1106</v>
      </c>
    </row>
    <row r="8" spans="1:3" x14ac:dyDescent="0.25">
      <c r="A8" s="182">
        <v>7</v>
      </c>
      <c r="B8" s="111" t="s">
        <v>1107</v>
      </c>
    </row>
    <row r="9" spans="1:3" ht="30" x14ac:dyDescent="0.25">
      <c r="A9" s="182">
        <v>8</v>
      </c>
      <c r="B9" s="111" t="s">
        <v>1108</v>
      </c>
      <c r="C9" t="s">
        <v>1109</v>
      </c>
    </row>
    <row r="10" spans="1:3" ht="30" x14ac:dyDescent="0.25">
      <c r="A10" s="182">
        <v>9</v>
      </c>
      <c r="B10" s="111" t="s">
        <v>1110</v>
      </c>
    </row>
    <row r="11" spans="1:3" ht="90" x14ac:dyDescent="0.25">
      <c r="A11" s="182">
        <v>10</v>
      </c>
      <c r="B11" s="111" t="s">
        <v>1111</v>
      </c>
    </row>
    <row r="12" spans="1:3" ht="32.65" customHeight="1" x14ac:dyDescent="0.25">
      <c r="A12" s="182">
        <v>11</v>
      </c>
      <c r="B12" s="96" t="s">
        <v>1112</v>
      </c>
    </row>
    <row r="13" spans="1:3" x14ac:dyDescent="0.25">
      <c r="A13" s="182">
        <v>12</v>
      </c>
      <c r="B13" s="111" t="s">
        <v>1113</v>
      </c>
    </row>
    <row r="14" spans="1:3" x14ac:dyDescent="0.25">
      <c r="B14" s="111"/>
    </row>
    <row r="15" spans="1:3" ht="18.75" x14ac:dyDescent="0.3">
      <c r="B15" s="186" t="s">
        <v>1114</v>
      </c>
    </row>
    <row r="16" spans="1:3" x14ac:dyDescent="0.25">
      <c r="A16" s="182">
        <v>1</v>
      </c>
      <c r="B16" t="s">
        <v>1115</v>
      </c>
    </row>
    <row r="17" spans="1:2" x14ac:dyDescent="0.25">
      <c r="A17" s="182">
        <v>2</v>
      </c>
      <c r="B17" t="s">
        <v>1116</v>
      </c>
    </row>
    <row r="18" spans="1:2" x14ac:dyDescent="0.25">
      <c r="A18" s="182">
        <v>3</v>
      </c>
      <c r="B18" t="s">
        <v>1117</v>
      </c>
    </row>
    <row r="19" spans="1:2" x14ac:dyDescent="0.25">
      <c r="A19" s="182">
        <v>4</v>
      </c>
      <c r="B19" t="s">
        <v>1118</v>
      </c>
    </row>
  </sheetData>
  <sheetProtection algorithmName="SHA-512" hashValue="vvd2U4S7Njj8JVBS2GiQS1Jlw5kxLmoiQx4xYZkjgR3Q9k/UWTTdxfBYG64HZ5RX+Br5H4Cfc4GD3fE7Rgm7Vw==" saltValue="h7rT/pGBrmnEdryAD2bNZw==" spinCount="100000" sheet="1" objects="1" scenarios="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FA954-49A9-4786-8569-32FE0A9A4A2E}">
  <sheetPr codeName="Sheet6"/>
  <dimension ref="A1:W282"/>
  <sheetViews>
    <sheetView showGridLines="0" workbookViewId="0"/>
  </sheetViews>
  <sheetFormatPr defaultRowHeight="15" x14ac:dyDescent="0.25"/>
  <cols>
    <col min="1" max="1" width="32.85546875" bestFit="1" customWidth="1"/>
    <col min="2" max="2" width="37.28515625" customWidth="1"/>
    <col min="3" max="3" width="30.28515625" customWidth="1"/>
    <col min="4" max="4" width="20.140625" bestFit="1" customWidth="1"/>
    <col min="5" max="5" width="30.5703125" customWidth="1"/>
    <col min="6" max="6" width="25.42578125" customWidth="1"/>
    <col min="7" max="7" width="4.7109375" customWidth="1"/>
    <col min="8" max="8" width="49.5703125" customWidth="1"/>
    <col min="9" max="9" width="5" customWidth="1"/>
    <col min="10" max="10" width="50.140625" customWidth="1"/>
    <col min="11" max="11" width="71.28515625" customWidth="1"/>
    <col min="12" max="12" width="5" customWidth="1"/>
    <col min="13" max="13" width="53" customWidth="1"/>
    <col min="14" max="14" width="32.5703125" customWidth="1"/>
    <col min="15" max="15" width="26.42578125" customWidth="1"/>
    <col min="16" max="16" width="16.5703125" customWidth="1"/>
    <col min="17" max="17" width="6" customWidth="1"/>
    <col min="18" max="18" width="5.7109375" customWidth="1"/>
    <col min="19" max="19" width="73" customWidth="1"/>
    <col min="20" max="20" width="4.28515625" customWidth="1"/>
    <col min="21" max="21" width="58.85546875" customWidth="1"/>
    <col min="22" max="22" width="4.28515625" customWidth="1"/>
    <col min="23" max="23" width="58.85546875" customWidth="1"/>
    <col min="24" max="24" width="47.7109375" customWidth="1"/>
  </cols>
  <sheetData>
    <row r="1" spans="1:23" x14ac:dyDescent="0.25">
      <c r="A1" s="69" t="s">
        <v>1119</v>
      </c>
      <c r="B1" s="181" t="s">
        <v>1120</v>
      </c>
      <c r="F1" s="69" t="s">
        <v>193</v>
      </c>
      <c r="S1" s="69" t="s">
        <v>1121</v>
      </c>
      <c r="U1" s="69" t="s">
        <v>1121</v>
      </c>
      <c r="W1" s="69" t="s">
        <v>1121</v>
      </c>
    </row>
    <row r="2" spans="1:23" s="36" customFormat="1" ht="30" x14ac:dyDescent="0.25">
      <c r="A2" s="37" t="s">
        <v>1122</v>
      </c>
      <c r="B2" s="37" t="s">
        <v>40</v>
      </c>
      <c r="C2" s="37" t="s">
        <v>1123</v>
      </c>
      <c r="D2" s="37" t="s">
        <v>1124</v>
      </c>
      <c r="E2" s="37" t="s">
        <v>155</v>
      </c>
      <c r="F2" s="37" t="s">
        <v>1125</v>
      </c>
      <c r="H2" s="35" t="s">
        <v>1126</v>
      </c>
      <c r="J2" s="35" t="s">
        <v>1127</v>
      </c>
      <c r="K2" s="35" t="s">
        <v>728</v>
      </c>
      <c r="L2" s="104"/>
      <c r="M2" s="187" t="s">
        <v>40</v>
      </c>
      <c r="N2" s="187" t="s">
        <v>191</v>
      </c>
      <c r="O2" s="187" t="s">
        <v>192</v>
      </c>
      <c r="P2" s="187" t="s">
        <v>1128</v>
      </c>
      <c r="S2" s="34" t="s">
        <v>736</v>
      </c>
      <c r="U2" s="34" t="s">
        <v>1129</v>
      </c>
      <c r="W2" s="34" t="s">
        <v>1130</v>
      </c>
    </row>
    <row r="3" spans="1:23" x14ac:dyDescent="0.25">
      <c r="A3" s="33" t="s">
        <v>1131</v>
      </c>
      <c r="B3" s="33" t="s">
        <v>1132</v>
      </c>
      <c r="C3" s="33" t="s">
        <v>1133</v>
      </c>
      <c r="D3" s="33" t="s">
        <v>1134</v>
      </c>
      <c r="E3" s="33" t="s">
        <v>195</v>
      </c>
      <c r="F3" s="33" t="s">
        <v>1135</v>
      </c>
      <c r="H3" t="str">
        <f t="shared" ref="H3:H66" si="0">SUBSTITUTE(SUBSTITUTE(B3,"Organizational Effectiveness","EPM"),"CPM","EPM")</f>
        <v>Cloud Practice USA</v>
      </c>
      <c r="J3" t="str">
        <f>SUBSTITUTE(TRIM(H3)," ","_")</f>
        <v>Cloud_Practice_USA</v>
      </c>
      <c r="K3" t="str">
        <f>_xlfn.CONCAT(J3,E3)</f>
        <v>Cloud_Practice_USAProgram Manager</v>
      </c>
      <c r="M3" t="str">
        <f t="shared" ref="M3:M66" si="1">J3</f>
        <v>Cloud_Practice_USA</v>
      </c>
      <c r="N3" s="185" t="str">
        <f t="shared" ref="N3:N27" si="2">E3</f>
        <v>Program Manager</v>
      </c>
      <c r="O3" t="str">
        <f t="shared" ref="O3:O27" si="3">_xlfn.CONCAT(C3," ",D3)</f>
        <v>Rodrigo Farinazo</v>
      </c>
      <c r="P3" t="str" cm="1">
        <f t="array" ref="P3">INDEX(_xlfn.TEXTSPLIT(B3," "),3)</f>
        <v>USA</v>
      </c>
      <c r="S3" t="str" cm="1">
        <f t="array" ref="S3:S133">_xlfn.UNIQUE(K3:K279)</f>
        <v>Cloud_Practice_USAProgram Manager</v>
      </c>
      <c r="U3" t="str" cm="1">
        <f t="array" ref="U3:U25">_xlfn._xlws.SORT(_xlfn.UNIQUE(J3:J279))</f>
        <v/>
      </c>
      <c r="W3" t="str" cm="1">
        <f t="array" ref="W3:W64">_xlfn._xlws.SORT(_xlfn.UNIQUE(E3:E279))</f>
        <v>Application Developer</v>
      </c>
    </row>
    <row r="4" spans="1:23" x14ac:dyDescent="0.25">
      <c r="A4" s="33" t="s">
        <v>1131</v>
      </c>
      <c r="B4" s="33" t="s">
        <v>1132</v>
      </c>
      <c r="C4" s="33" t="s">
        <v>1136</v>
      </c>
      <c r="D4" s="33" t="s">
        <v>1137</v>
      </c>
      <c r="E4" s="33" t="s">
        <v>195</v>
      </c>
      <c r="F4" s="33" t="s">
        <v>1135</v>
      </c>
      <c r="H4" t="str">
        <f t="shared" si="0"/>
        <v>Cloud Practice USA</v>
      </c>
      <c r="J4" t="str">
        <f t="shared" ref="J4:J67" si="4">SUBSTITUTE(TRIM(H4)," ","_")</f>
        <v>Cloud_Practice_USA</v>
      </c>
      <c r="K4" t="str">
        <f t="shared" ref="K4:K23" si="5">_xlfn.CONCAT(J4,E4)</f>
        <v>Cloud_Practice_USAProgram Manager</v>
      </c>
      <c r="M4" t="str">
        <f t="shared" si="1"/>
        <v>Cloud_Practice_USA</v>
      </c>
      <c r="N4" s="185" t="str">
        <f t="shared" si="2"/>
        <v>Program Manager</v>
      </c>
      <c r="O4" t="str">
        <f t="shared" si="3"/>
        <v>Michael Stevens</v>
      </c>
      <c r="P4" t="str" cm="1">
        <f t="array" ref="P4">INDEX(_xlfn.TEXTSPLIT(B4," "),3)</f>
        <v>USA</v>
      </c>
      <c r="S4" t="str">
        <v>Cloud_Practice_USASr. Program Lead</v>
      </c>
      <c r="U4" t="str">
        <v>Cloud_Practice_USA</v>
      </c>
      <c r="W4" t="str">
        <v>Application Developer - DI</v>
      </c>
    </row>
    <row r="5" spans="1:23" x14ac:dyDescent="0.25">
      <c r="A5" s="33" t="s">
        <v>1131</v>
      </c>
      <c r="B5" s="33" t="s">
        <v>1132</v>
      </c>
      <c r="C5" s="33" t="s">
        <v>1136</v>
      </c>
      <c r="D5" s="33" t="s">
        <v>1138</v>
      </c>
      <c r="E5" s="33" t="s">
        <v>198</v>
      </c>
      <c r="F5" s="33" t="s">
        <v>1135</v>
      </c>
      <c r="H5" t="str">
        <f t="shared" si="0"/>
        <v>Cloud Practice USA</v>
      </c>
      <c r="J5" t="str">
        <f t="shared" si="4"/>
        <v>Cloud_Practice_USA</v>
      </c>
      <c r="K5" t="str">
        <f t="shared" si="5"/>
        <v>Cloud_Practice_USASr. Program Lead</v>
      </c>
      <c r="M5" t="str">
        <f t="shared" si="1"/>
        <v>Cloud_Practice_USA</v>
      </c>
      <c r="N5" s="185" t="str">
        <f t="shared" si="2"/>
        <v>Sr. Program Lead</v>
      </c>
      <c r="O5" t="str">
        <f t="shared" si="3"/>
        <v>Michael J Meier</v>
      </c>
      <c r="P5" t="str" cm="1">
        <f t="array" ref="P5">INDEX(_xlfn.TEXTSPLIT(B5," "),3)</f>
        <v>USA</v>
      </c>
      <c r="S5" t="str">
        <v>Cloud_Practice_USAProject Manager</v>
      </c>
      <c r="U5" t="str">
        <v>EPM_Practice_Canada_-_Consolidation</v>
      </c>
      <c r="W5" t="str">
        <v>Application Developer - FCC</v>
      </c>
    </row>
    <row r="6" spans="1:23" x14ac:dyDescent="0.25">
      <c r="A6" s="33" t="s">
        <v>1131</v>
      </c>
      <c r="B6" s="33" t="s">
        <v>1132</v>
      </c>
      <c r="C6" s="33" t="s">
        <v>1139</v>
      </c>
      <c r="D6" s="33" t="s">
        <v>1140</v>
      </c>
      <c r="E6" s="33" t="s">
        <v>200</v>
      </c>
      <c r="F6" s="33" t="s">
        <v>1135</v>
      </c>
      <c r="H6" t="str">
        <f t="shared" si="0"/>
        <v>Cloud Practice USA</v>
      </c>
      <c r="J6" t="str">
        <f t="shared" si="4"/>
        <v>Cloud_Practice_USA</v>
      </c>
      <c r="K6" t="str">
        <f t="shared" si="5"/>
        <v>Cloud_Practice_USAProject Manager</v>
      </c>
      <c r="M6" t="str">
        <f t="shared" si="1"/>
        <v>Cloud_Practice_USA</v>
      </c>
      <c r="N6" s="185" t="str">
        <f t="shared" si="2"/>
        <v>Project Manager</v>
      </c>
      <c r="O6" t="str">
        <f t="shared" si="3"/>
        <v>Kerri Dittmar</v>
      </c>
      <c r="P6" t="str" cm="1">
        <f t="array" ref="P6">INDEX(_xlfn.TEXTSPLIT(B6," "),3)</f>
        <v>USA</v>
      </c>
      <c r="S6" t="str">
        <v>Cloud_Practice_USAEngineer</v>
      </c>
      <c r="U6" t="str">
        <v>EPM_Practice_India</v>
      </c>
      <c r="W6" t="str">
        <v>Application Developer - PLN</v>
      </c>
    </row>
    <row r="7" spans="1:23" x14ac:dyDescent="0.25">
      <c r="A7" s="33" t="s">
        <v>1131</v>
      </c>
      <c r="B7" s="33" t="s">
        <v>1132</v>
      </c>
      <c r="C7" s="33" t="s">
        <v>1141</v>
      </c>
      <c r="D7" s="33" t="s">
        <v>1142</v>
      </c>
      <c r="E7" s="33" t="s">
        <v>202</v>
      </c>
      <c r="F7" s="33" t="s">
        <v>1135</v>
      </c>
      <c r="H7" t="str">
        <f t="shared" si="0"/>
        <v>Cloud Practice USA</v>
      </c>
      <c r="J7" t="str">
        <f t="shared" si="4"/>
        <v>Cloud_Practice_USA</v>
      </c>
      <c r="K7" t="str">
        <f t="shared" si="5"/>
        <v>Cloud_Practice_USAEngineer</v>
      </c>
      <c r="M7" t="str">
        <f t="shared" si="1"/>
        <v>Cloud_Practice_USA</v>
      </c>
      <c r="N7" s="185" t="str">
        <f t="shared" si="2"/>
        <v>Engineer</v>
      </c>
      <c r="O7" t="str">
        <f t="shared" si="3"/>
        <v>Harrison Koons</v>
      </c>
      <c r="P7" t="str" cm="1">
        <f t="array" ref="P7">INDEX(_xlfn.TEXTSPLIT(B7," "),3)</f>
        <v>USA</v>
      </c>
      <c r="S7" t="str">
        <v>Cloud_Practice_USAProgram Lead</v>
      </c>
      <c r="U7" t="str">
        <v>EPM_Practice_India_-_Consolidation</v>
      </c>
      <c r="W7" t="str">
        <v>Application Lead</v>
      </c>
    </row>
    <row r="8" spans="1:23" x14ac:dyDescent="0.25">
      <c r="A8" s="33" t="s">
        <v>1131</v>
      </c>
      <c r="B8" s="33" t="s">
        <v>1132</v>
      </c>
      <c r="C8" s="33" t="s">
        <v>1143</v>
      </c>
      <c r="D8" s="33" t="s">
        <v>1144</v>
      </c>
      <c r="E8" s="33" t="s">
        <v>204</v>
      </c>
      <c r="F8" s="33" t="s">
        <v>1135</v>
      </c>
      <c r="H8" t="str">
        <f t="shared" si="0"/>
        <v>Cloud Practice USA</v>
      </c>
      <c r="J8" t="str">
        <f t="shared" si="4"/>
        <v>Cloud_Practice_USA</v>
      </c>
      <c r="K8" t="str">
        <f t="shared" si="5"/>
        <v>Cloud_Practice_USAProgram Lead</v>
      </c>
      <c r="M8" t="str">
        <f t="shared" si="1"/>
        <v>Cloud_Practice_USA</v>
      </c>
      <c r="N8" s="185" t="str">
        <f t="shared" si="2"/>
        <v>Program Lead</v>
      </c>
      <c r="O8" t="str">
        <f t="shared" si="3"/>
        <v>Evan C List</v>
      </c>
      <c r="P8" t="str" cm="1">
        <f t="array" ref="P8">INDEX(_xlfn.TEXTSPLIT(B8," "),3)</f>
        <v>USA</v>
      </c>
      <c r="S8" t="str">
        <v>Cloud_Practice_USAArchitect</v>
      </c>
      <c r="U8" t="str">
        <v>EPM_Practice_India_-_Integration</v>
      </c>
      <c r="W8" t="str">
        <v>Application Lead - FCC</v>
      </c>
    </row>
    <row r="9" spans="1:23" x14ac:dyDescent="0.25">
      <c r="A9" s="33" t="s">
        <v>1131</v>
      </c>
      <c r="B9" s="33" t="s">
        <v>1132</v>
      </c>
      <c r="C9" s="33" t="s">
        <v>1145</v>
      </c>
      <c r="D9" s="33" t="s">
        <v>1146</v>
      </c>
      <c r="E9" s="33" t="s">
        <v>206</v>
      </c>
      <c r="F9" s="33" t="s">
        <v>1135</v>
      </c>
      <c r="H9" t="str">
        <f t="shared" si="0"/>
        <v>Cloud Practice USA</v>
      </c>
      <c r="J9" t="str">
        <f t="shared" si="4"/>
        <v>Cloud_Practice_USA</v>
      </c>
      <c r="K9" t="str">
        <f t="shared" si="5"/>
        <v>Cloud_Practice_USAArchitect</v>
      </c>
      <c r="M9" t="str">
        <f t="shared" si="1"/>
        <v>Cloud_Practice_USA</v>
      </c>
      <c r="N9" s="185" t="str">
        <f t="shared" si="2"/>
        <v>Architect</v>
      </c>
      <c r="O9" t="str">
        <f t="shared" si="3"/>
        <v>Christina Allan</v>
      </c>
      <c r="P9" t="str" cm="1">
        <f t="array" ref="P9">INDEX(_xlfn.TEXTSPLIT(B9," "),3)</f>
        <v>USA</v>
      </c>
      <c r="S9" t="str">
        <v>EPM_Practice_Canada_-_ConsolidationApplication Developer</v>
      </c>
      <c r="U9" t="str">
        <v>EPM_Practice_India_-_Planning</v>
      </c>
      <c r="W9" t="str">
        <v>Application Lead - PLN</v>
      </c>
    </row>
    <row r="10" spans="1:23" x14ac:dyDescent="0.25">
      <c r="A10" s="33" t="s">
        <v>1131</v>
      </c>
      <c r="B10" s="33" t="s">
        <v>1132</v>
      </c>
      <c r="C10" s="33" t="s">
        <v>1147</v>
      </c>
      <c r="D10" s="33" t="s">
        <v>1148</v>
      </c>
      <c r="E10" s="33" t="s">
        <v>206</v>
      </c>
      <c r="F10" s="33" t="s">
        <v>1135</v>
      </c>
      <c r="H10" t="str">
        <f t="shared" si="0"/>
        <v>Cloud Practice USA</v>
      </c>
      <c r="J10" t="str">
        <f t="shared" si="4"/>
        <v>Cloud_Practice_USA</v>
      </c>
      <c r="K10" t="str">
        <f t="shared" si="5"/>
        <v>Cloud_Practice_USAArchitect</v>
      </c>
      <c r="M10" t="str">
        <f t="shared" si="1"/>
        <v>Cloud_Practice_USA</v>
      </c>
      <c r="N10" s="185" t="str">
        <f t="shared" si="2"/>
        <v>Architect</v>
      </c>
      <c r="O10" t="str">
        <f t="shared" si="3"/>
        <v>Brandon C Wagoner</v>
      </c>
      <c r="P10" t="str" cm="1">
        <f t="array" ref="P10">INDEX(_xlfn.TEXTSPLIT(B10," "),3)</f>
        <v>USA</v>
      </c>
      <c r="S10" t="str">
        <v>EPM_Practice_India_-_ConsolidationSr. Application Lead</v>
      </c>
      <c r="U10" t="str">
        <v>EPM_Practice_USA</v>
      </c>
      <c r="W10" t="str">
        <v>Application Support Lead</v>
      </c>
    </row>
    <row r="11" spans="1:23" x14ac:dyDescent="0.25">
      <c r="A11" s="33" t="s">
        <v>1149</v>
      </c>
      <c r="B11" s="33" t="s">
        <v>1132</v>
      </c>
      <c r="C11" s="33" t="s">
        <v>1150</v>
      </c>
      <c r="D11" s="33" t="s">
        <v>1151</v>
      </c>
      <c r="E11" s="33" t="s">
        <v>206</v>
      </c>
      <c r="F11" s="33" t="s">
        <v>1152</v>
      </c>
      <c r="H11" t="str">
        <f t="shared" si="0"/>
        <v>Cloud Practice USA</v>
      </c>
      <c r="J11" t="str">
        <f t="shared" si="4"/>
        <v>Cloud_Practice_USA</v>
      </c>
      <c r="K11" t="str">
        <f t="shared" si="5"/>
        <v>Cloud_Practice_USAArchitect</v>
      </c>
      <c r="M11" t="str">
        <f t="shared" si="1"/>
        <v>Cloud_Practice_USA</v>
      </c>
      <c r="N11" s="185" t="str">
        <f t="shared" si="2"/>
        <v>Architect</v>
      </c>
      <c r="O11" t="str">
        <f t="shared" si="3"/>
        <v>Eric Paul</v>
      </c>
      <c r="P11" t="str" cm="1">
        <f t="array" ref="P11">INDEX(_xlfn.TEXTSPLIT(B11," "),3)</f>
        <v>USA</v>
      </c>
      <c r="S11" t="str">
        <v>EPM_Practice_India_-_ConsolidationSr. Application Lead - FCC</v>
      </c>
      <c r="U11" t="str">
        <v>EPM_Practice_USA_-_Consolidation</v>
      </c>
      <c r="W11" t="str">
        <v>Application Support Lead - EPB</v>
      </c>
    </row>
    <row r="12" spans="1:23" x14ac:dyDescent="0.25">
      <c r="A12" s="33" t="s">
        <v>1153</v>
      </c>
      <c r="B12" s="33" t="s">
        <v>1132</v>
      </c>
      <c r="C12" s="33" t="s">
        <v>1154</v>
      </c>
      <c r="D12" s="33" t="s">
        <v>1155</v>
      </c>
      <c r="E12" s="33" t="s">
        <v>206</v>
      </c>
      <c r="F12" s="33" t="s">
        <v>1152</v>
      </c>
      <c r="H12" t="str">
        <f t="shared" si="0"/>
        <v>Cloud Practice USA</v>
      </c>
      <c r="J12" t="str">
        <f t="shared" si="4"/>
        <v>Cloud_Practice_USA</v>
      </c>
      <c r="K12" t="str">
        <f t="shared" si="5"/>
        <v>Cloud_Practice_USAArchitect</v>
      </c>
      <c r="M12" t="str">
        <f t="shared" si="1"/>
        <v>Cloud_Practice_USA</v>
      </c>
      <c r="N12" s="185" t="str">
        <f t="shared" si="2"/>
        <v>Architect</v>
      </c>
      <c r="O12" t="str">
        <f t="shared" si="3"/>
        <v>Sean Clark</v>
      </c>
      <c r="P12" t="str" cm="1">
        <f t="array" ref="P12">INDEX(_xlfn.TEXTSPLIT(B12," "),3)</f>
        <v>USA</v>
      </c>
      <c r="S12" t="str">
        <v>EPM_Practice_India_-_ConsolidationApplication Lead - FCC</v>
      </c>
      <c r="U12" t="str">
        <v>EPM_Practice_USA_-_Integration</v>
      </c>
      <c r="W12" t="str">
        <v>Application Support Lead - FCC</v>
      </c>
    </row>
    <row r="13" spans="1:23" x14ac:dyDescent="0.25">
      <c r="A13" s="33" t="s">
        <v>1153</v>
      </c>
      <c r="B13" s="33" t="s">
        <v>1132</v>
      </c>
      <c r="C13" s="33" t="s">
        <v>1156</v>
      </c>
      <c r="D13" s="33" t="s">
        <v>1157</v>
      </c>
      <c r="E13" s="33" t="s">
        <v>202</v>
      </c>
      <c r="F13" s="33" t="s">
        <v>1152</v>
      </c>
      <c r="H13" t="str">
        <f t="shared" si="0"/>
        <v>Cloud Practice USA</v>
      </c>
      <c r="J13" t="str">
        <f t="shared" si="4"/>
        <v>Cloud_Practice_USA</v>
      </c>
      <c r="K13" t="str">
        <f t="shared" si="5"/>
        <v>Cloud_Practice_USAEngineer</v>
      </c>
      <c r="M13" t="str">
        <f t="shared" si="1"/>
        <v>Cloud_Practice_USA</v>
      </c>
      <c r="N13" s="185" t="str">
        <f t="shared" si="2"/>
        <v>Engineer</v>
      </c>
      <c r="O13" t="str">
        <f t="shared" si="3"/>
        <v>Asha Angalla</v>
      </c>
      <c r="P13" t="str" cm="1">
        <f t="array" ref="P13">INDEX(_xlfn.TEXTSPLIT(B13," "),3)</f>
        <v>USA</v>
      </c>
      <c r="S13" t="str">
        <v>EPM_Practice_India_-_ConsolidationSoftware Engineer</v>
      </c>
      <c r="U13" t="str">
        <v>EPM_Practice_USA_-_Managed_Services</v>
      </c>
      <c r="W13" t="str">
        <v>Architect</v>
      </c>
    </row>
    <row r="14" spans="1:23" x14ac:dyDescent="0.25">
      <c r="A14" s="33" t="s">
        <v>1153</v>
      </c>
      <c r="B14" s="33" t="s">
        <v>1132</v>
      </c>
      <c r="C14" s="33" t="s">
        <v>1158</v>
      </c>
      <c r="D14" s="33" t="s">
        <v>1159</v>
      </c>
      <c r="E14" s="33" t="s">
        <v>202</v>
      </c>
      <c r="F14" s="33" t="s">
        <v>1152</v>
      </c>
      <c r="H14" t="str">
        <f t="shared" si="0"/>
        <v>Cloud Practice USA</v>
      </c>
      <c r="J14" t="str">
        <f t="shared" si="4"/>
        <v>Cloud_Practice_USA</v>
      </c>
      <c r="K14" t="str">
        <f t="shared" si="5"/>
        <v>Cloud_Practice_USAEngineer</v>
      </c>
      <c r="M14" t="str">
        <f t="shared" si="1"/>
        <v>Cloud_Practice_USA</v>
      </c>
      <c r="N14" s="185" t="str">
        <f t="shared" si="2"/>
        <v>Engineer</v>
      </c>
      <c r="O14" t="str">
        <f t="shared" si="3"/>
        <v>Gowtham Nelavelli</v>
      </c>
      <c r="P14" t="str" cm="1">
        <f t="array" ref="P14">INDEX(_xlfn.TEXTSPLIT(B14," "),3)</f>
        <v>USA</v>
      </c>
      <c r="S14" t="str">
        <v>EPM_Practice_India_-_ConsolidationSr. Software Engineer</v>
      </c>
      <c r="U14" t="str">
        <v>EPM_Practice_USA_-_Planning</v>
      </c>
      <c r="W14" t="str">
        <v>Business/Data Analyst</v>
      </c>
    </row>
    <row r="15" spans="1:23" x14ac:dyDescent="0.25">
      <c r="A15" s="33" t="s">
        <v>1153</v>
      </c>
      <c r="B15" s="33" t="s">
        <v>1132</v>
      </c>
      <c r="C15" s="33" t="s">
        <v>1160</v>
      </c>
      <c r="D15" s="33" t="s">
        <v>1161</v>
      </c>
      <c r="E15" s="33" t="s">
        <v>206</v>
      </c>
      <c r="F15" s="33" t="s">
        <v>1152</v>
      </c>
      <c r="H15" t="str">
        <f t="shared" si="0"/>
        <v>Cloud Practice USA</v>
      </c>
      <c r="J15" t="str">
        <f t="shared" si="4"/>
        <v>Cloud_Practice_USA</v>
      </c>
      <c r="K15" t="str">
        <f t="shared" si="5"/>
        <v>Cloud_Practice_USAArchitect</v>
      </c>
      <c r="M15" t="str">
        <f t="shared" si="1"/>
        <v>Cloud_Practice_USA</v>
      </c>
      <c r="N15" s="185" t="str">
        <f t="shared" si="2"/>
        <v>Architect</v>
      </c>
      <c r="O15" t="str">
        <f t="shared" si="3"/>
        <v>Yoshi Budiyanto</v>
      </c>
      <c r="P15" t="str" cm="1">
        <f t="array" ref="P15">INDEX(_xlfn.TEXTSPLIT(B15," "),3)</f>
        <v>USA</v>
      </c>
      <c r="S15" t="str">
        <v>EPM_Practice_India_-_ConsolidationApplication Developer - FCC</v>
      </c>
      <c r="U15" t="str">
        <v>ERP_Practice_Argentina</v>
      </c>
      <c r="W15" t="str">
        <v>Developer</v>
      </c>
    </row>
    <row r="16" spans="1:23" x14ac:dyDescent="0.25">
      <c r="A16" s="33" t="s">
        <v>1162</v>
      </c>
      <c r="B16" s="33" t="s">
        <v>1132</v>
      </c>
      <c r="C16" s="33" t="s">
        <v>1163</v>
      </c>
      <c r="D16" s="33" t="s">
        <v>1164</v>
      </c>
      <c r="E16" s="33" t="s">
        <v>206</v>
      </c>
      <c r="F16" s="33" t="s">
        <v>1152</v>
      </c>
      <c r="H16" t="str">
        <f t="shared" si="0"/>
        <v>Cloud Practice USA</v>
      </c>
      <c r="J16" t="str">
        <f t="shared" si="4"/>
        <v>Cloud_Practice_USA</v>
      </c>
      <c r="K16" t="str">
        <f t="shared" si="5"/>
        <v>Cloud_Practice_USAArchitect</v>
      </c>
      <c r="M16" t="str">
        <f t="shared" si="1"/>
        <v>Cloud_Practice_USA</v>
      </c>
      <c r="N16" s="185" t="str">
        <f t="shared" si="2"/>
        <v>Architect</v>
      </c>
      <c r="O16" t="str">
        <f t="shared" si="3"/>
        <v>Sandeep C Appalaneni</v>
      </c>
      <c r="P16" t="str" cm="1">
        <f t="array" ref="P16">INDEX(_xlfn.TEXTSPLIT(B16," "),3)</f>
        <v>USA</v>
      </c>
      <c r="S16" t="str">
        <v>EPM_Practice_India_-_ConsolidationSr. Solution Architect - FCC</v>
      </c>
      <c r="U16" t="str">
        <v>ERP_Practice_Brazil</v>
      </c>
      <c r="W16" t="str">
        <v>DevOps Engineer</v>
      </c>
    </row>
    <row r="17" spans="1:23" x14ac:dyDescent="0.25">
      <c r="A17" s="33" t="s">
        <v>1131</v>
      </c>
      <c r="B17" s="33" t="s">
        <v>1165</v>
      </c>
      <c r="C17" s="33" t="s">
        <v>1166</v>
      </c>
      <c r="D17" s="33" t="s">
        <v>1167</v>
      </c>
      <c r="E17" s="33" t="s">
        <v>216</v>
      </c>
      <c r="F17" s="33" t="s">
        <v>1168</v>
      </c>
      <c r="H17" t="str">
        <f t="shared" si="0"/>
        <v>EPM Practice Canada - Consolidation</v>
      </c>
      <c r="J17" t="str">
        <f t="shared" si="4"/>
        <v>EPM_Practice_Canada_-_Consolidation</v>
      </c>
      <c r="K17" t="str">
        <f t="shared" si="5"/>
        <v>EPM_Practice_Canada_-_ConsolidationApplication Developer</v>
      </c>
      <c r="M17" t="str">
        <f t="shared" si="1"/>
        <v>EPM_Practice_Canada_-_Consolidation</v>
      </c>
      <c r="N17" s="185" t="str">
        <f t="shared" si="2"/>
        <v>Application Developer</v>
      </c>
      <c r="O17" t="str">
        <f t="shared" si="3"/>
        <v>Lalit Agarwal</v>
      </c>
      <c r="P17" t="str" cm="1">
        <f t="array" ref="P17">INDEX(_xlfn.TEXTSPLIT(B17," "),3)</f>
        <v>Canada</v>
      </c>
      <c r="S17" t="str">
        <v>EPM_Practice_India_-_IntegrationSr. Solution Architect</v>
      </c>
      <c r="U17" t="str">
        <v>ERP_Practice_CzechRepublic</v>
      </c>
      <c r="W17" t="str">
        <v>Engineer</v>
      </c>
    </row>
    <row r="18" spans="1:23" x14ac:dyDescent="0.25">
      <c r="A18" s="33" t="s">
        <v>1131</v>
      </c>
      <c r="B18" s="33" t="s">
        <v>1169</v>
      </c>
      <c r="C18" s="33" t="s">
        <v>1170</v>
      </c>
      <c r="D18" s="33" t="s">
        <v>1171</v>
      </c>
      <c r="E18" s="33" t="s">
        <v>219</v>
      </c>
      <c r="F18" s="33" t="s">
        <v>1172</v>
      </c>
      <c r="H18" t="str">
        <f t="shared" si="0"/>
        <v>EPM Practice India - Consolidation</v>
      </c>
      <c r="J18" t="str">
        <f t="shared" si="4"/>
        <v>EPM_Practice_India_-_Consolidation</v>
      </c>
      <c r="K18" t="str">
        <f t="shared" si="5"/>
        <v>EPM_Practice_India_-_ConsolidationSr. Application Lead</v>
      </c>
      <c r="M18" t="str">
        <f t="shared" si="1"/>
        <v>EPM_Practice_India_-_Consolidation</v>
      </c>
      <c r="N18" s="185" t="str">
        <f t="shared" si="2"/>
        <v>Sr. Application Lead</v>
      </c>
      <c r="O18" t="str">
        <f t="shared" si="3"/>
        <v>Aditya Mehta</v>
      </c>
      <c r="P18" t="str" cm="1">
        <f t="array" ref="P18">INDEX(_xlfn.TEXTSPLIT(B18," "),3)</f>
        <v>India</v>
      </c>
      <c r="S18" t="str">
        <v>EPM_Practice_India_-_IntegrationSr. Software Engineer</v>
      </c>
      <c r="U18" t="str">
        <v>ERP_Practice_Germany</v>
      </c>
      <c r="W18" t="str">
        <v>Functional Lead</v>
      </c>
    </row>
    <row r="19" spans="1:23" x14ac:dyDescent="0.25">
      <c r="A19" s="33" t="s">
        <v>1131</v>
      </c>
      <c r="B19" s="33" t="s">
        <v>1169</v>
      </c>
      <c r="C19" s="33" t="s">
        <v>1173</v>
      </c>
      <c r="D19" s="33" t="s">
        <v>1174</v>
      </c>
      <c r="E19" s="33" t="s">
        <v>221</v>
      </c>
      <c r="F19" s="33" t="s">
        <v>1172</v>
      </c>
      <c r="H19" t="str">
        <f t="shared" si="0"/>
        <v>EPM Practice India - Consolidation</v>
      </c>
      <c r="J19" t="str">
        <f t="shared" si="4"/>
        <v>EPM_Practice_India_-_Consolidation</v>
      </c>
      <c r="K19" t="str">
        <f t="shared" si="5"/>
        <v>EPM_Practice_India_-_ConsolidationSr. Application Lead - FCC</v>
      </c>
      <c r="M19" t="str">
        <f t="shared" si="1"/>
        <v>EPM_Practice_India_-_Consolidation</v>
      </c>
      <c r="N19" s="185" t="str">
        <f t="shared" si="2"/>
        <v>Sr. Application Lead - FCC</v>
      </c>
      <c r="O19" t="str">
        <f t="shared" si="3"/>
        <v>Saif Ur Rehman</v>
      </c>
      <c r="P19" t="str" cm="1">
        <f t="array" ref="P19">INDEX(_xlfn.TEXTSPLIT(B19," "),3)</f>
        <v>India</v>
      </c>
      <c r="S19" t="str">
        <v>EPM_Practice_India_-_IntegrationSoftware Engineer</v>
      </c>
      <c r="U19" t="str">
        <v>ERP_Practice_India</v>
      </c>
      <c r="W19" t="str">
        <v>Integration Lead</v>
      </c>
    </row>
    <row r="20" spans="1:23" x14ac:dyDescent="0.25">
      <c r="A20" s="33" t="s">
        <v>1131</v>
      </c>
      <c r="B20" s="33" t="s">
        <v>1169</v>
      </c>
      <c r="C20" s="33" t="s">
        <v>1175</v>
      </c>
      <c r="D20" s="33" t="s">
        <v>1176</v>
      </c>
      <c r="E20" s="33" t="s">
        <v>223</v>
      </c>
      <c r="F20" s="33" t="s">
        <v>1172</v>
      </c>
      <c r="H20" t="str">
        <f t="shared" si="0"/>
        <v>EPM Practice India - Consolidation</v>
      </c>
      <c r="J20" t="str">
        <f t="shared" si="4"/>
        <v>EPM_Practice_India_-_Consolidation</v>
      </c>
      <c r="K20" t="str">
        <f t="shared" si="5"/>
        <v>EPM_Practice_India_-_ConsolidationApplication Lead - FCC</v>
      </c>
      <c r="M20" t="str">
        <f t="shared" si="1"/>
        <v>EPM_Practice_India_-_Consolidation</v>
      </c>
      <c r="N20" s="185" t="str">
        <f t="shared" si="2"/>
        <v>Application Lead - FCC</v>
      </c>
      <c r="O20" t="str">
        <f t="shared" si="3"/>
        <v>Madhurima Burman</v>
      </c>
      <c r="P20" t="str" cm="1">
        <f t="array" ref="P20">INDEX(_xlfn.TEXTSPLIT(B20," "),3)</f>
        <v>India</v>
      </c>
      <c r="S20" t="str">
        <v>EPM_Practice_India_-_IntegrationSolution Architect - DI</v>
      </c>
      <c r="U20" t="str">
        <v>ERP_Practice_Mexico</v>
      </c>
      <c r="W20" t="str">
        <v>Principal</v>
      </c>
    </row>
    <row r="21" spans="1:23" x14ac:dyDescent="0.25">
      <c r="A21" s="33" t="s">
        <v>1131</v>
      </c>
      <c r="B21" s="33" t="s">
        <v>1169</v>
      </c>
      <c r="C21" s="33" t="s">
        <v>1177</v>
      </c>
      <c r="D21" s="33" t="s">
        <v>1178</v>
      </c>
      <c r="E21" s="33" t="s">
        <v>223</v>
      </c>
      <c r="F21" s="33" t="s">
        <v>1172</v>
      </c>
      <c r="H21" t="str">
        <f t="shared" si="0"/>
        <v>EPM Practice India - Consolidation</v>
      </c>
      <c r="J21" t="str">
        <f t="shared" si="4"/>
        <v>EPM_Practice_India_-_Consolidation</v>
      </c>
      <c r="K21" t="str">
        <f t="shared" si="5"/>
        <v>EPM_Practice_India_-_ConsolidationApplication Lead - FCC</v>
      </c>
      <c r="M21" t="str">
        <f t="shared" si="1"/>
        <v>EPM_Practice_India_-_Consolidation</v>
      </c>
      <c r="N21" s="185" t="str">
        <f t="shared" si="2"/>
        <v>Application Lead - FCC</v>
      </c>
      <c r="O21" t="str">
        <f t="shared" si="3"/>
        <v>Sowmya Polishetty</v>
      </c>
      <c r="P21" t="str" cm="1">
        <f t="array" ref="P21">INDEX(_xlfn.TEXTSPLIT(B21," "),3)</f>
        <v>India</v>
      </c>
      <c r="S21" t="str">
        <v>EPM_Practice_India_-_IntegrationIntegration Lead</v>
      </c>
      <c r="U21" t="str">
        <v>ERP_Practice_Spain</v>
      </c>
      <c r="W21" t="str">
        <v>Principal Architect</v>
      </c>
    </row>
    <row r="22" spans="1:23" x14ac:dyDescent="0.25">
      <c r="A22" s="33" t="s">
        <v>1131</v>
      </c>
      <c r="B22" s="33" t="s">
        <v>1169</v>
      </c>
      <c r="C22" s="33" t="s">
        <v>1179</v>
      </c>
      <c r="D22" s="33" t="s">
        <v>1180</v>
      </c>
      <c r="E22" s="33" t="s">
        <v>226</v>
      </c>
      <c r="F22" s="33" t="s">
        <v>1172</v>
      </c>
      <c r="H22" t="str">
        <f t="shared" si="0"/>
        <v>EPM Practice India - Consolidation</v>
      </c>
      <c r="J22" t="str">
        <f t="shared" si="4"/>
        <v>EPM_Practice_India_-_Consolidation</v>
      </c>
      <c r="K22" t="str">
        <f t="shared" si="5"/>
        <v>EPM_Practice_India_-_ConsolidationSoftware Engineer</v>
      </c>
      <c r="M22" t="str">
        <f t="shared" si="1"/>
        <v>EPM_Practice_India_-_Consolidation</v>
      </c>
      <c r="N22" s="185" t="str">
        <f t="shared" si="2"/>
        <v>Software Engineer</v>
      </c>
      <c r="O22" t="str">
        <f t="shared" si="3"/>
        <v>DeepuPrakash AJ</v>
      </c>
      <c r="P22" t="str" cm="1">
        <f t="array" ref="P22">INDEX(_xlfn.TEXTSPLIT(B22," "),3)</f>
        <v>India</v>
      </c>
      <c r="S22" t="str">
        <v>EPM_Practice_India_-_IntegrationSr. Application Developer - DI</v>
      </c>
      <c r="U22" t="str">
        <v>ERP_Practice_USA</v>
      </c>
      <c r="W22" t="str">
        <v>Program Lead</v>
      </c>
    </row>
    <row r="23" spans="1:23" x14ac:dyDescent="0.25">
      <c r="A23" s="33" t="s">
        <v>1131</v>
      </c>
      <c r="B23" s="33" t="s">
        <v>1169</v>
      </c>
      <c r="C23" s="33" t="s">
        <v>1181</v>
      </c>
      <c r="D23" s="33" t="s">
        <v>1182</v>
      </c>
      <c r="E23" s="33" t="s">
        <v>226</v>
      </c>
      <c r="F23" s="33" t="s">
        <v>1172</v>
      </c>
      <c r="H23" t="str">
        <f t="shared" si="0"/>
        <v>EPM Practice India - Consolidation</v>
      </c>
      <c r="J23" t="str">
        <f t="shared" si="4"/>
        <v>EPM_Practice_India_-_Consolidation</v>
      </c>
      <c r="K23" t="str">
        <f t="shared" si="5"/>
        <v>EPM_Practice_India_-_ConsolidationSoftware Engineer</v>
      </c>
      <c r="M23" t="str">
        <f t="shared" si="1"/>
        <v>EPM_Practice_India_-_Consolidation</v>
      </c>
      <c r="N23" s="185" t="str">
        <f t="shared" si="2"/>
        <v>Software Engineer</v>
      </c>
      <c r="O23" t="str">
        <f t="shared" si="3"/>
        <v>Sijith M</v>
      </c>
      <c r="P23" t="str" cm="1">
        <f t="array" ref="P23">INDEX(_xlfn.TEXTSPLIT(B23," "),3)</f>
        <v>India</v>
      </c>
      <c r="S23" t="str">
        <v>EPM_Practice_India_-_IntegrationSr. Integration Developer</v>
      </c>
      <c r="U23" t="str">
        <v>PS_Practice_USA</v>
      </c>
      <c r="W23" t="str">
        <v>Program Manager</v>
      </c>
    </row>
    <row r="24" spans="1:23" x14ac:dyDescent="0.25">
      <c r="A24" s="33" t="s">
        <v>1131</v>
      </c>
      <c r="B24" s="33" t="s">
        <v>1169</v>
      </c>
      <c r="C24" s="33" t="s">
        <v>1183</v>
      </c>
      <c r="D24" s="33" t="s">
        <v>1184</v>
      </c>
      <c r="E24" s="33" t="s">
        <v>223</v>
      </c>
      <c r="F24" s="33" t="s">
        <v>1172</v>
      </c>
      <c r="H24" t="str">
        <f t="shared" si="0"/>
        <v>EPM Practice India - Consolidation</v>
      </c>
      <c r="J24" t="str">
        <f t="shared" si="4"/>
        <v>EPM_Practice_India_-_Consolidation</v>
      </c>
      <c r="K24" t="str">
        <f t="shared" ref="K24:K27" si="6">_xlfn.CONCAT(J24,E24)</f>
        <v>EPM_Practice_India_-_ConsolidationApplication Lead - FCC</v>
      </c>
      <c r="M24" t="str">
        <f t="shared" si="1"/>
        <v>EPM_Practice_India_-_Consolidation</v>
      </c>
      <c r="N24" s="185" t="str">
        <f t="shared" si="2"/>
        <v>Application Lead - FCC</v>
      </c>
      <c r="O24" t="str">
        <f t="shared" si="3"/>
        <v>Supriya Mise</v>
      </c>
      <c r="P24" t="str" cm="1">
        <f t="array" ref="P24">INDEX(_xlfn.TEXTSPLIT(B24," "),3)</f>
        <v>India</v>
      </c>
      <c r="S24" t="str">
        <v>EPM_Practice_India_-_IntegrationApplication Developer - DI</v>
      </c>
      <c r="U24" t="str">
        <v>TS_Practice_India</v>
      </c>
      <c r="W24" t="str">
        <v>Project Coordinator</v>
      </c>
    </row>
    <row r="25" spans="1:23" x14ac:dyDescent="0.25">
      <c r="A25" s="33" t="s">
        <v>1131</v>
      </c>
      <c r="B25" s="33" t="s">
        <v>1169</v>
      </c>
      <c r="C25" s="33" t="s">
        <v>1185</v>
      </c>
      <c r="D25" s="33" t="s">
        <v>1186</v>
      </c>
      <c r="E25" s="33" t="s">
        <v>230</v>
      </c>
      <c r="F25" s="33" t="s">
        <v>1172</v>
      </c>
      <c r="H25" t="str">
        <f t="shared" si="0"/>
        <v>EPM Practice India - Consolidation</v>
      </c>
      <c r="J25" t="str">
        <f t="shared" si="4"/>
        <v>EPM_Practice_India_-_Consolidation</v>
      </c>
      <c r="K25" t="str">
        <f t="shared" si="6"/>
        <v>EPM_Practice_India_-_ConsolidationSr. Software Engineer</v>
      </c>
      <c r="M25" t="str">
        <f t="shared" si="1"/>
        <v>EPM_Practice_India_-_Consolidation</v>
      </c>
      <c r="N25" s="185" t="str">
        <f t="shared" si="2"/>
        <v>Sr. Software Engineer</v>
      </c>
      <c r="O25" t="str">
        <f t="shared" si="3"/>
        <v>Sabaritha Rajendran</v>
      </c>
      <c r="P25" t="str" cm="1">
        <f t="array" ref="P25">INDEX(_xlfn.TEXTSPLIT(B25," "),3)</f>
        <v>India</v>
      </c>
      <c r="S25" t="str">
        <v>EPM_Practice_India_-_IntegrationSr. Integration Lead</v>
      </c>
      <c r="U25" t="str">
        <v>TS_Practice_USA</v>
      </c>
      <c r="W25" t="str">
        <v>Project Manager</v>
      </c>
    </row>
    <row r="26" spans="1:23" x14ac:dyDescent="0.25">
      <c r="A26" s="33" t="s">
        <v>1131</v>
      </c>
      <c r="B26" s="33" t="s">
        <v>1169</v>
      </c>
      <c r="C26" s="33" t="s">
        <v>1187</v>
      </c>
      <c r="D26" s="33" t="s">
        <v>1188</v>
      </c>
      <c r="E26" s="33" t="s">
        <v>230</v>
      </c>
      <c r="F26" s="33" t="s">
        <v>1172</v>
      </c>
      <c r="H26" t="str">
        <f t="shared" si="0"/>
        <v>EPM Practice India - Consolidation</v>
      </c>
      <c r="J26" t="str">
        <f t="shared" si="4"/>
        <v>EPM_Practice_India_-_Consolidation</v>
      </c>
      <c r="K26" t="str">
        <f t="shared" si="6"/>
        <v>EPM_Practice_India_-_ConsolidationSr. Software Engineer</v>
      </c>
      <c r="M26" t="str">
        <f t="shared" si="1"/>
        <v>EPM_Practice_India_-_Consolidation</v>
      </c>
      <c r="N26" s="185" t="str">
        <f t="shared" si="2"/>
        <v>Sr. Software Engineer</v>
      </c>
      <c r="O26" t="str">
        <f t="shared" si="3"/>
        <v>Rithik Prem</v>
      </c>
      <c r="P26" t="str" cm="1">
        <f t="array" ref="P26">INDEX(_xlfn.TEXTSPLIT(B26," "),3)</f>
        <v>India</v>
      </c>
      <c r="S26" t="str">
        <v>EPM_Practice_India_-_PlanningSr. Application Lead - PLN</v>
      </c>
      <c r="W26" t="str">
        <v>QA Tester - Automation</v>
      </c>
    </row>
    <row r="27" spans="1:23" x14ac:dyDescent="0.25">
      <c r="A27" s="33" t="s">
        <v>1131</v>
      </c>
      <c r="B27" s="33" t="s">
        <v>1169</v>
      </c>
      <c r="C27" s="33" t="s">
        <v>1189</v>
      </c>
      <c r="D27" s="33" t="s">
        <v>1190</v>
      </c>
      <c r="E27" s="33" t="s">
        <v>230</v>
      </c>
      <c r="F27" s="33" t="s">
        <v>1172</v>
      </c>
      <c r="H27" t="str">
        <f t="shared" si="0"/>
        <v>EPM Practice India - Consolidation</v>
      </c>
      <c r="J27" t="str">
        <f t="shared" si="4"/>
        <v>EPM_Practice_India_-_Consolidation</v>
      </c>
      <c r="K27" t="str">
        <f t="shared" si="6"/>
        <v>EPM_Practice_India_-_ConsolidationSr. Software Engineer</v>
      </c>
      <c r="M27" t="str">
        <f t="shared" si="1"/>
        <v>EPM_Practice_India_-_Consolidation</v>
      </c>
      <c r="N27" s="185" t="str">
        <f t="shared" si="2"/>
        <v>Sr. Software Engineer</v>
      </c>
      <c r="O27" t="str">
        <f t="shared" si="3"/>
        <v>Manjunath M P</v>
      </c>
      <c r="P27" t="str" cm="1">
        <f t="array" ref="P27">INDEX(_xlfn.TEXTSPLIT(B27," "),3)</f>
        <v>India</v>
      </c>
      <c r="S27" t="str">
        <v>EPM_Practice_India_-_PlanningSr. Application Developer</v>
      </c>
      <c r="W27" t="str">
        <v>QA Tester - Manual</v>
      </c>
    </row>
    <row r="28" spans="1:23" x14ac:dyDescent="0.25">
      <c r="A28" s="33" t="s">
        <v>1131</v>
      </c>
      <c r="B28" s="33" t="s">
        <v>1169</v>
      </c>
      <c r="C28" s="33" t="s">
        <v>1191</v>
      </c>
      <c r="D28" s="33" t="s">
        <v>1192</v>
      </c>
      <c r="E28" s="33" t="s">
        <v>234</v>
      </c>
      <c r="F28" s="33" t="s">
        <v>1172</v>
      </c>
      <c r="H28" t="str">
        <f t="shared" si="0"/>
        <v>EPM Practice India - Consolidation</v>
      </c>
      <c r="J28" t="str">
        <f t="shared" si="4"/>
        <v>EPM_Practice_India_-_Consolidation</v>
      </c>
      <c r="K28" t="str">
        <f t="shared" ref="K28:K91" si="7">_xlfn.CONCAT(J28,E28)</f>
        <v>EPM_Practice_India_-_ConsolidationApplication Developer - FCC</v>
      </c>
      <c r="M28" t="str">
        <f t="shared" si="1"/>
        <v>EPM_Practice_India_-_Consolidation</v>
      </c>
      <c r="N28" s="185" t="str">
        <f t="shared" ref="N28:N91" si="8">E28</f>
        <v>Application Developer - FCC</v>
      </c>
      <c r="O28" t="str">
        <f t="shared" ref="O28:O91" si="9">_xlfn.CONCAT(C28," ",D28)</f>
        <v>Kartikey Panday</v>
      </c>
      <c r="P28" t="str" cm="1">
        <f t="array" ref="P28">INDEX(_xlfn.TEXTSPLIT(B28," "),3)</f>
        <v>India</v>
      </c>
      <c r="S28" t="str">
        <v>EPM_Practice_India_-_PlanningSolution Architect - PLN</v>
      </c>
      <c r="W28" t="str">
        <v>Security Engineer</v>
      </c>
    </row>
    <row r="29" spans="1:23" x14ac:dyDescent="0.25">
      <c r="A29" s="33" t="s">
        <v>1131</v>
      </c>
      <c r="B29" s="33" t="s">
        <v>1169</v>
      </c>
      <c r="C29" s="33" t="s">
        <v>1193</v>
      </c>
      <c r="D29" s="33" t="s">
        <v>1194</v>
      </c>
      <c r="E29" s="33" t="s">
        <v>234</v>
      </c>
      <c r="F29" s="33" t="s">
        <v>1172</v>
      </c>
      <c r="H29" t="str">
        <f t="shared" si="0"/>
        <v>EPM Practice India - Consolidation</v>
      </c>
      <c r="J29" t="str">
        <f t="shared" si="4"/>
        <v>EPM_Practice_India_-_Consolidation</v>
      </c>
      <c r="K29" t="str">
        <f t="shared" si="7"/>
        <v>EPM_Practice_India_-_ConsolidationApplication Developer - FCC</v>
      </c>
      <c r="M29" t="str">
        <f t="shared" si="1"/>
        <v>EPM_Practice_India_-_Consolidation</v>
      </c>
      <c r="N29" s="185" t="str">
        <f t="shared" si="8"/>
        <v>Application Developer - FCC</v>
      </c>
      <c r="O29" t="str">
        <f t="shared" si="9"/>
        <v>Kamalashree Appavu</v>
      </c>
      <c r="P29" t="str" cm="1">
        <f t="array" ref="P29">INDEX(_xlfn.TEXTSPLIT(B29," "),3)</f>
        <v>India</v>
      </c>
      <c r="S29" t="str">
        <v>EPM_Practice_India_-_PlanningApplication Developer - PLN</v>
      </c>
      <c r="W29" t="str">
        <v>Service Delivery Manager</v>
      </c>
    </row>
    <row r="30" spans="1:23" x14ac:dyDescent="0.25">
      <c r="A30" s="33" t="s">
        <v>1131</v>
      </c>
      <c r="B30" s="33" t="s">
        <v>1169</v>
      </c>
      <c r="C30" s="33" t="s">
        <v>1195</v>
      </c>
      <c r="D30" s="33" t="s">
        <v>1196</v>
      </c>
      <c r="E30" s="33" t="s">
        <v>237</v>
      </c>
      <c r="F30" s="33" t="s">
        <v>1172</v>
      </c>
      <c r="H30" t="str">
        <f t="shared" si="0"/>
        <v>EPM Practice India - Consolidation</v>
      </c>
      <c r="J30" t="str">
        <f t="shared" si="4"/>
        <v>EPM_Practice_India_-_Consolidation</v>
      </c>
      <c r="K30" t="str">
        <f t="shared" si="7"/>
        <v>EPM_Practice_India_-_ConsolidationSr. Solution Architect - FCC</v>
      </c>
      <c r="M30" t="str">
        <f t="shared" si="1"/>
        <v>EPM_Practice_India_-_Consolidation</v>
      </c>
      <c r="N30" s="185" t="str">
        <f t="shared" si="8"/>
        <v>Sr. Solution Architect - FCC</v>
      </c>
      <c r="O30" t="str">
        <f t="shared" si="9"/>
        <v>Aparna Ottapurakkal Kallada</v>
      </c>
      <c r="P30" t="str" cm="1">
        <f t="array" ref="P30">INDEX(_xlfn.TEXTSPLIT(B30," "),3)</f>
        <v>India</v>
      </c>
      <c r="S30" t="str">
        <v>EPM_Practice_India_-_PlanningSr. Application Developer - PLN</v>
      </c>
      <c r="W30" t="str">
        <v>Software Engineer</v>
      </c>
    </row>
    <row r="31" spans="1:23" x14ac:dyDescent="0.25">
      <c r="A31" t="s">
        <v>1131</v>
      </c>
      <c r="B31" s="33" t="s">
        <v>1169</v>
      </c>
      <c r="C31" t="s">
        <v>1197</v>
      </c>
      <c r="D31" t="s">
        <v>1198</v>
      </c>
      <c r="E31" t="s">
        <v>223</v>
      </c>
      <c r="F31" t="s">
        <v>1172</v>
      </c>
      <c r="H31" t="str">
        <f t="shared" si="0"/>
        <v>EPM Practice India - Consolidation</v>
      </c>
      <c r="J31" t="str">
        <f t="shared" si="4"/>
        <v>EPM_Practice_India_-_Consolidation</v>
      </c>
      <c r="K31" t="str">
        <f t="shared" si="7"/>
        <v>EPM_Practice_India_-_ConsolidationApplication Lead - FCC</v>
      </c>
      <c r="M31" t="str">
        <f t="shared" si="1"/>
        <v>EPM_Practice_India_-_Consolidation</v>
      </c>
      <c r="N31" s="185" t="str">
        <f t="shared" si="8"/>
        <v>Application Lead - FCC</v>
      </c>
      <c r="O31" t="str">
        <f t="shared" si="9"/>
        <v>Anand Thota</v>
      </c>
      <c r="P31" t="str" cm="1">
        <f t="array" ref="P31">INDEX(_xlfn.TEXTSPLIT(B31," "),3)</f>
        <v>India</v>
      </c>
      <c r="S31" t="str">
        <v>EPM_Practice_India_-_PlanningSr. Solution Architect</v>
      </c>
      <c r="W31" t="str">
        <v>Solution Architect</v>
      </c>
    </row>
    <row r="32" spans="1:23" x14ac:dyDescent="0.25">
      <c r="A32" s="33" t="s">
        <v>1131</v>
      </c>
      <c r="B32" s="33" t="s">
        <v>1199</v>
      </c>
      <c r="C32" s="33" t="s">
        <v>1200</v>
      </c>
      <c r="D32" s="33" t="s">
        <v>1201</v>
      </c>
      <c r="E32" s="33" t="s">
        <v>241</v>
      </c>
      <c r="F32" s="33" t="s">
        <v>1172</v>
      </c>
      <c r="H32" t="str">
        <f t="shared" si="0"/>
        <v>EPM Practice India - Integration</v>
      </c>
      <c r="J32" t="str">
        <f t="shared" si="4"/>
        <v>EPM_Practice_India_-_Integration</v>
      </c>
      <c r="K32" t="str">
        <f t="shared" si="7"/>
        <v>EPM_Practice_India_-_IntegrationSr. Solution Architect</v>
      </c>
      <c r="M32" t="str">
        <f t="shared" si="1"/>
        <v>EPM_Practice_India_-_Integration</v>
      </c>
      <c r="N32" s="185" t="str">
        <f t="shared" si="8"/>
        <v>Sr. Solution Architect</v>
      </c>
      <c r="O32" t="str">
        <f t="shared" si="9"/>
        <v>Disha Chhabria Kukreja</v>
      </c>
      <c r="P32" t="str" cm="1">
        <f t="array" ref="P32">INDEX(_xlfn.TEXTSPLIT(B32," "),3)</f>
        <v>India</v>
      </c>
      <c r="S32" t="str">
        <v>EPM_Practice_India_-_PlanningSoftware Engineer</v>
      </c>
      <c r="W32" t="str">
        <v>Solution Architect - DI</v>
      </c>
    </row>
    <row r="33" spans="1:23" x14ac:dyDescent="0.25">
      <c r="A33" s="33" t="s">
        <v>1131</v>
      </c>
      <c r="B33" s="33" t="s">
        <v>1199</v>
      </c>
      <c r="C33" s="33" t="s">
        <v>1202</v>
      </c>
      <c r="D33" s="33" t="s">
        <v>1203</v>
      </c>
      <c r="E33" s="33" t="s">
        <v>230</v>
      </c>
      <c r="F33" s="33" t="s">
        <v>1172</v>
      </c>
      <c r="H33" t="str">
        <f t="shared" si="0"/>
        <v>EPM Practice India - Integration</v>
      </c>
      <c r="J33" t="str">
        <f t="shared" si="4"/>
        <v>EPM_Practice_India_-_Integration</v>
      </c>
      <c r="K33" t="str">
        <f t="shared" si="7"/>
        <v>EPM_Practice_India_-_IntegrationSr. Software Engineer</v>
      </c>
      <c r="M33" t="str">
        <f t="shared" si="1"/>
        <v>EPM_Practice_India_-_Integration</v>
      </c>
      <c r="N33" s="185" t="str">
        <f t="shared" si="8"/>
        <v>Sr. Software Engineer</v>
      </c>
      <c r="O33" t="str">
        <f t="shared" si="9"/>
        <v>Lohith Reddy Pidimarla</v>
      </c>
      <c r="P33" t="str" cm="1">
        <f t="array" ref="P33">INDEX(_xlfn.TEXTSPLIT(B33," "),3)</f>
        <v>India</v>
      </c>
      <c r="S33" t="str">
        <v>EPM_Practice_India_-_PlanningApplication Lead - PLN</v>
      </c>
      <c r="W33" t="str">
        <v>Solution Architect - FCC</v>
      </c>
    </row>
    <row r="34" spans="1:23" x14ac:dyDescent="0.25">
      <c r="A34" s="33" t="s">
        <v>1131</v>
      </c>
      <c r="B34" s="33" t="s">
        <v>1199</v>
      </c>
      <c r="C34" s="33" t="s">
        <v>1204</v>
      </c>
      <c r="D34" s="33" t="s">
        <v>1205</v>
      </c>
      <c r="E34" s="33" t="s">
        <v>226</v>
      </c>
      <c r="F34" s="33" t="s">
        <v>1172</v>
      </c>
      <c r="H34" t="str">
        <f t="shared" si="0"/>
        <v>EPM Practice India - Integration</v>
      </c>
      <c r="J34" t="str">
        <f t="shared" si="4"/>
        <v>EPM_Practice_India_-_Integration</v>
      </c>
      <c r="K34" t="str">
        <f t="shared" si="7"/>
        <v>EPM_Practice_India_-_IntegrationSoftware Engineer</v>
      </c>
      <c r="M34" t="str">
        <f t="shared" si="1"/>
        <v>EPM_Practice_India_-_Integration</v>
      </c>
      <c r="N34" s="185" t="str">
        <f t="shared" si="8"/>
        <v>Software Engineer</v>
      </c>
      <c r="O34" t="str">
        <f t="shared" si="9"/>
        <v>Shyam Natarajan</v>
      </c>
      <c r="P34" t="str" cm="1">
        <f t="array" ref="P34">INDEX(_xlfn.TEXTSPLIT(B34," "),3)</f>
        <v>India</v>
      </c>
      <c r="S34" t="str">
        <v>EPM_Practice_India_-_PlanningSr. Solution Architect - PLN</v>
      </c>
      <c r="W34" t="str">
        <v>Solution Architect - PLN</v>
      </c>
    </row>
    <row r="35" spans="1:23" x14ac:dyDescent="0.25">
      <c r="A35" s="33" t="s">
        <v>1131</v>
      </c>
      <c r="B35" s="33" t="s">
        <v>1199</v>
      </c>
      <c r="C35" s="33" t="s">
        <v>1206</v>
      </c>
      <c r="D35" s="33" t="s">
        <v>1207</v>
      </c>
      <c r="E35" s="33" t="s">
        <v>230</v>
      </c>
      <c r="F35" s="33" t="s">
        <v>1172</v>
      </c>
      <c r="H35" t="str">
        <f t="shared" si="0"/>
        <v>EPM Practice India - Integration</v>
      </c>
      <c r="J35" t="str">
        <f t="shared" si="4"/>
        <v>EPM_Practice_India_-_Integration</v>
      </c>
      <c r="K35" t="str">
        <f t="shared" si="7"/>
        <v>EPM_Practice_India_-_IntegrationSr. Software Engineer</v>
      </c>
      <c r="M35" t="str">
        <f t="shared" si="1"/>
        <v>EPM_Practice_India_-_Integration</v>
      </c>
      <c r="N35" s="185" t="str">
        <f t="shared" si="8"/>
        <v>Sr. Software Engineer</v>
      </c>
      <c r="O35" t="str">
        <f t="shared" si="9"/>
        <v>Ashok Reddy Komineni</v>
      </c>
      <c r="P35" t="str" cm="1">
        <f t="array" ref="P35">INDEX(_xlfn.TEXTSPLIT(B35," "),3)</f>
        <v>India</v>
      </c>
      <c r="S35" t="str">
        <v>EPM_Practice_India_-_PlanningSr. Software Engineer</v>
      </c>
      <c r="W35" t="str">
        <v>Sr. Application Developer</v>
      </c>
    </row>
    <row r="36" spans="1:23" x14ac:dyDescent="0.25">
      <c r="A36" s="33" t="s">
        <v>1131</v>
      </c>
      <c r="B36" s="33" t="s">
        <v>1199</v>
      </c>
      <c r="C36" s="33" t="s">
        <v>1208</v>
      </c>
      <c r="D36" s="33" t="s">
        <v>1209</v>
      </c>
      <c r="E36" s="33" t="s">
        <v>246</v>
      </c>
      <c r="F36" s="33" t="s">
        <v>1172</v>
      </c>
      <c r="H36" t="str">
        <f t="shared" si="0"/>
        <v>EPM Practice India - Integration</v>
      </c>
      <c r="J36" t="str">
        <f t="shared" si="4"/>
        <v>EPM_Practice_India_-_Integration</v>
      </c>
      <c r="K36" t="str">
        <f t="shared" si="7"/>
        <v>EPM_Practice_India_-_IntegrationSolution Architect - DI</v>
      </c>
      <c r="M36" t="str">
        <f t="shared" si="1"/>
        <v>EPM_Practice_India_-_Integration</v>
      </c>
      <c r="N36" s="185" t="str">
        <f t="shared" si="8"/>
        <v>Solution Architect - DI</v>
      </c>
      <c r="O36" t="str">
        <f t="shared" si="9"/>
        <v>Prakash Ramchandran</v>
      </c>
      <c r="P36" t="str" cm="1">
        <f t="array" ref="P36">INDEX(_xlfn.TEXTSPLIT(B36," "),3)</f>
        <v>India</v>
      </c>
      <c r="S36" t="str">
        <v>EPM_Practice_USAApplication Developer</v>
      </c>
      <c r="W36" t="str">
        <v>Sr. Application Developer - DI</v>
      </c>
    </row>
    <row r="37" spans="1:23" x14ac:dyDescent="0.25">
      <c r="A37" s="33" t="s">
        <v>1131</v>
      </c>
      <c r="B37" s="33" t="s">
        <v>1199</v>
      </c>
      <c r="C37" s="33" t="s">
        <v>1210</v>
      </c>
      <c r="D37" s="33" t="s">
        <v>1211</v>
      </c>
      <c r="E37" s="33" t="s">
        <v>226</v>
      </c>
      <c r="F37" s="33" t="s">
        <v>1172</v>
      </c>
      <c r="H37" t="str">
        <f t="shared" si="0"/>
        <v>EPM Practice India - Integration</v>
      </c>
      <c r="J37" t="str">
        <f t="shared" si="4"/>
        <v>EPM_Practice_India_-_Integration</v>
      </c>
      <c r="K37" t="str">
        <f t="shared" si="7"/>
        <v>EPM_Practice_India_-_IntegrationSoftware Engineer</v>
      </c>
      <c r="M37" t="str">
        <f t="shared" si="1"/>
        <v>EPM_Practice_India_-_Integration</v>
      </c>
      <c r="N37" s="185" t="str">
        <f t="shared" si="8"/>
        <v>Software Engineer</v>
      </c>
      <c r="O37" t="str">
        <f t="shared" si="9"/>
        <v>Sanjai Ponnuvel</v>
      </c>
      <c r="P37" t="str" cm="1">
        <f t="array" ref="P37">INDEX(_xlfn.TEXTSPLIT(B37," "),3)</f>
        <v>India</v>
      </c>
      <c r="S37" t="str">
        <v>EPM_Practice_USAPrincipal Architect</v>
      </c>
      <c r="W37" t="str">
        <v>Sr. Application Developer - PLN</v>
      </c>
    </row>
    <row r="38" spans="1:23" x14ac:dyDescent="0.25">
      <c r="A38" s="33" t="s">
        <v>1131</v>
      </c>
      <c r="B38" s="33" t="s">
        <v>1199</v>
      </c>
      <c r="C38" s="33" t="s">
        <v>1212</v>
      </c>
      <c r="D38" s="33" t="s">
        <v>1213</v>
      </c>
      <c r="E38" s="33" t="s">
        <v>226</v>
      </c>
      <c r="F38" s="33" t="s">
        <v>1172</v>
      </c>
      <c r="H38" t="str">
        <f t="shared" si="0"/>
        <v>EPM Practice India - Integration</v>
      </c>
      <c r="J38" t="str">
        <f t="shared" si="4"/>
        <v>EPM_Practice_India_-_Integration</v>
      </c>
      <c r="K38" t="str">
        <f t="shared" si="7"/>
        <v>EPM_Practice_India_-_IntegrationSoftware Engineer</v>
      </c>
      <c r="M38" t="str">
        <f t="shared" si="1"/>
        <v>EPM_Practice_India_-_Integration</v>
      </c>
      <c r="N38" s="185" t="str">
        <f t="shared" si="8"/>
        <v>Software Engineer</v>
      </c>
      <c r="O38" t="str">
        <f t="shared" si="9"/>
        <v>Pavithran K</v>
      </c>
      <c r="P38" t="str" cm="1">
        <f t="array" ref="P38">INDEX(_xlfn.TEXTSPLIT(B38," "),3)</f>
        <v>India</v>
      </c>
      <c r="S38" t="str">
        <v>EPM_Practice_USASr. Solution Architect</v>
      </c>
      <c r="W38" t="str">
        <v>Sr. Application Lead</v>
      </c>
    </row>
    <row r="39" spans="1:23" x14ac:dyDescent="0.25">
      <c r="A39" s="33" t="s">
        <v>1131</v>
      </c>
      <c r="B39" s="33" t="s">
        <v>1199</v>
      </c>
      <c r="C39" s="33" t="s">
        <v>1214</v>
      </c>
      <c r="D39" s="33" t="s">
        <v>1215</v>
      </c>
      <c r="E39" s="33" t="s">
        <v>226</v>
      </c>
      <c r="F39" s="33" t="s">
        <v>1172</v>
      </c>
      <c r="H39" t="str">
        <f t="shared" si="0"/>
        <v>EPM Practice India - Integration</v>
      </c>
      <c r="J39" t="str">
        <f t="shared" si="4"/>
        <v>EPM_Practice_India_-_Integration</v>
      </c>
      <c r="K39" t="str">
        <f t="shared" si="7"/>
        <v>EPM_Practice_India_-_IntegrationSoftware Engineer</v>
      </c>
      <c r="M39" t="str">
        <f t="shared" si="1"/>
        <v>EPM_Practice_India_-_Integration</v>
      </c>
      <c r="N39" s="185" t="str">
        <f t="shared" si="8"/>
        <v>Software Engineer</v>
      </c>
      <c r="O39" t="str">
        <f t="shared" si="9"/>
        <v>Gerigi Charan Kumar</v>
      </c>
      <c r="P39" t="str" cm="1">
        <f t="array" ref="P39">INDEX(_xlfn.TEXTSPLIT(B39," "),3)</f>
        <v>India</v>
      </c>
      <c r="S39" t="str">
        <v>EPM_Practice_USAFunctional Lead</v>
      </c>
      <c r="W39" t="str">
        <v>Sr. Application Lead - FCC</v>
      </c>
    </row>
    <row r="40" spans="1:23" x14ac:dyDescent="0.25">
      <c r="A40" s="33" t="s">
        <v>1131</v>
      </c>
      <c r="B40" s="33" t="s">
        <v>1199</v>
      </c>
      <c r="C40" s="33" t="s">
        <v>1216</v>
      </c>
      <c r="D40" s="33" t="s">
        <v>1217</v>
      </c>
      <c r="E40" s="33" t="s">
        <v>230</v>
      </c>
      <c r="F40" s="33" t="s">
        <v>1172</v>
      </c>
      <c r="H40" t="str">
        <f t="shared" si="0"/>
        <v>EPM Practice India - Integration</v>
      </c>
      <c r="J40" t="str">
        <f t="shared" si="4"/>
        <v>EPM_Practice_India_-_Integration</v>
      </c>
      <c r="K40" t="str">
        <f t="shared" si="7"/>
        <v>EPM_Practice_India_-_IntegrationSr. Software Engineer</v>
      </c>
      <c r="M40" t="str">
        <f t="shared" si="1"/>
        <v>EPM_Practice_India_-_Integration</v>
      </c>
      <c r="N40" s="185" t="str">
        <f t="shared" si="8"/>
        <v>Sr. Software Engineer</v>
      </c>
      <c r="O40" t="str">
        <f t="shared" si="9"/>
        <v>Ganesh Jeyaramalingam</v>
      </c>
      <c r="P40" t="str" cm="1">
        <f t="array" ref="P40">INDEX(_xlfn.TEXTSPLIT(B40," "),3)</f>
        <v>India</v>
      </c>
      <c r="S40" t="str">
        <v>EPM_Practice_USAApplication Lead</v>
      </c>
      <c r="W40" t="str">
        <v>Sr. Application Lead - PLN</v>
      </c>
    </row>
    <row r="41" spans="1:23" x14ac:dyDescent="0.25">
      <c r="A41" s="33" t="s">
        <v>1131</v>
      </c>
      <c r="B41" s="33" t="s">
        <v>1199</v>
      </c>
      <c r="C41" s="33" t="s">
        <v>1218</v>
      </c>
      <c r="D41" s="33" t="s">
        <v>1219</v>
      </c>
      <c r="E41" s="33" t="s">
        <v>226</v>
      </c>
      <c r="F41" s="33" t="s">
        <v>1172</v>
      </c>
      <c r="H41" t="str">
        <f t="shared" si="0"/>
        <v>EPM Practice India - Integration</v>
      </c>
      <c r="J41" t="str">
        <f t="shared" si="4"/>
        <v>EPM_Practice_India_-_Integration</v>
      </c>
      <c r="K41" t="str">
        <f t="shared" si="7"/>
        <v>EPM_Practice_India_-_IntegrationSoftware Engineer</v>
      </c>
      <c r="M41" t="str">
        <f t="shared" si="1"/>
        <v>EPM_Practice_India_-_Integration</v>
      </c>
      <c r="N41" s="185" t="str">
        <f t="shared" si="8"/>
        <v>Software Engineer</v>
      </c>
      <c r="O41" t="str">
        <f t="shared" si="9"/>
        <v>Rizil Akthar PP</v>
      </c>
      <c r="P41" t="str" cm="1">
        <f t="array" ref="P41">INDEX(_xlfn.TEXTSPLIT(B41," "),3)</f>
        <v>India</v>
      </c>
      <c r="S41" t="str">
        <v>EPM_Practice_USASolution Architect - FCC</v>
      </c>
      <c r="W41" t="str">
        <v>Sr. Application Support Lead</v>
      </c>
    </row>
    <row r="42" spans="1:23" x14ac:dyDescent="0.25">
      <c r="A42" s="33" t="s">
        <v>1131</v>
      </c>
      <c r="B42" s="33" t="s">
        <v>1199</v>
      </c>
      <c r="C42" s="33" t="s">
        <v>1220</v>
      </c>
      <c r="D42" s="33" t="s">
        <v>1221</v>
      </c>
      <c r="E42" s="33" t="s">
        <v>226</v>
      </c>
      <c r="F42" s="33" t="s">
        <v>1172</v>
      </c>
      <c r="H42" t="str">
        <f t="shared" si="0"/>
        <v>EPM Practice India - Integration</v>
      </c>
      <c r="J42" t="str">
        <f t="shared" si="4"/>
        <v>EPM_Practice_India_-_Integration</v>
      </c>
      <c r="K42" t="str">
        <f t="shared" si="7"/>
        <v>EPM_Practice_India_-_IntegrationSoftware Engineer</v>
      </c>
      <c r="M42" t="str">
        <f t="shared" si="1"/>
        <v>EPM_Practice_India_-_Integration</v>
      </c>
      <c r="N42" s="185" t="str">
        <f t="shared" si="8"/>
        <v>Software Engineer</v>
      </c>
      <c r="O42" t="str">
        <f t="shared" si="9"/>
        <v>Karthik Madheswaran</v>
      </c>
      <c r="P42" t="str" cm="1">
        <f t="array" ref="P42">INDEX(_xlfn.TEXTSPLIT(B42," "),3)</f>
        <v>India</v>
      </c>
      <c r="S42" t="str">
        <v>EPM_Practice_USA_-_ConsolidationSolution Architect - FCC</v>
      </c>
      <c r="W42" t="str">
        <v>Sr. Application Support Lead - FCC</v>
      </c>
    </row>
    <row r="43" spans="1:23" x14ac:dyDescent="0.25">
      <c r="A43" s="33" t="s">
        <v>1131</v>
      </c>
      <c r="B43" s="33" t="s">
        <v>1199</v>
      </c>
      <c r="C43" s="33" t="s">
        <v>1222</v>
      </c>
      <c r="D43" s="33" t="s">
        <v>1223</v>
      </c>
      <c r="E43" s="33" t="s">
        <v>254</v>
      </c>
      <c r="F43" s="33" t="s">
        <v>1172</v>
      </c>
      <c r="H43" t="str">
        <f t="shared" si="0"/>
        <v>EPM Practice India - Integration</v>
      </c>
      <c r="J43" t="str">
        <f t="shared" si="4"/>
        <v>EPM_Practice_India_-_Integration</v>
      </c>
      <c r="K43" t="str">
        <f t="shared" si="7"/>
        <v>EPM_Practice_India_-_IntegrationIntegration Lead</v>
      </c>
      <c r="M43" t="str">
        <f t="shared" si="1"/>
        <v>EPM_Practice_India_-_Integration</v>
      </c>
      <c r="N43" s="185" t="str">
        <f t="shared" si="8"/>
        <v>Integration Lead</v>
      </c>
      <c r="O43" t="str">
        <f t="shared" si="9"/>
        <v>Vignesh Thangavel</v>
      </c>
      <c r="P43" t="str" cm="1">
        <f t="array" ref="P43">INDEX(_xlfn.TEXTSPLIT(B43," "),3)</f>
        <v>India</v>
      </c>
      <c r="S43" t="str">
        <v>EPM_Practice_USA_-_ConsolidationSolution Architect</v>
      </c>
      <c r="W43" t="str">
        <v>Sr. Architect</v>
      </c>
    </row>
    <row r="44" spans="1:23" x14ac:dyDescent="0.25">
      <c r="A44" s="33" t="s">
        <v>1131</v>
      </c>
      <c r="B44" s="33" t="s">
        <v>1199</v>
      </c>
      <c r="C44" s="33" t="s">
        <v>1224</v>
      </c>
      <c r="D44" s="33" t="s">
        <v>1225</v>
      </c>
      <c r="E44" s="33" t="s">
        <v>226</v>
      </c>
      <c r="F44" s="33" t="s">
        <v>1172</v>
      </c>
      <c r="H44" t="str">
        <f t="shared" si="0"/>
        <v>EPM Practice India - Integration</v>
      </c>
      <c r="J44" t="str">
        <f t="shared" si="4"/>
        <v>EPM_Practice_India_-_Integration</v>
      </c>
      <c r="K44" t="str">
        <f t="shared" si="7"/>
        <v>EPM_Practice_India_-_IntegrationSoftware Engineer</v>
      </c>
      <c r="M44" t="str">
        <f t="shared" si="1"/>
        <v>EPM_Practice_India_-_Integration</v>
      </c>
      <c r="N44" s="185" t="str">
        <f t="shared" si="8"/>
        <v>Software Engineer</v>
      </c>
      <c r="O44" t="str">
        <f t="shared" si="9"/>
        <v>Shivangi Gopal</v>
      </c>
      <c r="P44" t="str" cm="1">
        <f t="array" ref="P44">INDEX(_xlfn.TEXTSPLIT(B44," "),3)</f>
        <v>India</v>
      </c>
      <c r="S44" t="str">
        <v>EPM_Practice_USA_-_ConsolidationPrincipal Architect</v>
      </c>
      <c r="W44" t="str">
        <v>Sr. Change Manager</v>
      </c>
    </row>
    <row r="45" spans="1:23" x14ac:dyDescent="0.25">
      <c r="A45" s="33" t="s">
        <v>1131</v>
      </c>
      <c r="B45" s="33" t="s">
        <v>1199</v>
      </c>
      <c r="C45" s="33" t="s">
        <v>1226</v>
      </c>
      <c r="D45" s="33" t="s">
        <v>1227</v>
      </c>
      <c r="E45" s="33" t="s">
        <v>257</v>
      </c>
      <c r="F45" s="33" t="s">
        <v>1172</v>
      </c>
      <c r="H45" t="str">
        <f t="shared" si="0"/>
        <v>EPM Practice India - Integration</v>
      </c>
      <c r="J45" t="str">
        <f t="shared" si="4"/>
        <v>EPM_Practice_India_-_Integration</v>
      </c>
      <c r="K45" t="str">
        <f t="shared" si="7"/>
        <v>EPM_Practice_India_-_IntegrationSr. Application Developer - DI</v>
      </c>
      <c r="M45" t="str">
        <f t="shared" si="1"/>
        <v>EPM_Practice_India_-_Integration</v>
      </c>
      <c r="N45" s="185" t="str">
        <f t="shared" si="8"/>
        <v>Sr. Application Developer - DI</v>
      </c>
      <c r="O45" t="str">
        <f t="shared" si="9"/>
        <v>Santosha Hakki</v>
      </c>
      <c r="P45" t="str" cm="1">
        <f t="array" ref="P45">INDEX(_xlfn.TEXTSPLIT(B45," "),3)</f>
        <v>India</v>
      </c>
      <c r="S45" t="str">
        <v>EPM_Practice_USA_-_ConsolidationApplication Lead</v>
      </c>
      <c r="W45" t="str">
        <v>Sr. Data Engineer</v>
      </c>
    </row>
    <row r="46" spans="1:23" x14ac:dyDescent="0.25">
      <c r="A46" s="33" t="s">
        <v>1131</v>
      </c>
      <c r="B46" s="33" t="s">
        <v>1199</v>
      </c>
      <c r="C46" s="33" t="s">
        <v>1188</v>
      </c>
      <c r="D46" s="33" t="s">
        <v>1228</v>
      </c>
      <c r="E46" s="33" t="s">
        <v>259</v>
      </c>
      <c r="F46" s="33" t="s">
        <v>1172</v>
      </c>
      <c r="H46" t="str">
        <f t="shared" si="0"/>
        <v>EPM Practice India - Integration</v>
      </c>
      <c r="J46" t="str">
        <f t="shared" si="4"/>
        <v>EPM_Practice_India_-_Integration</v>
      </c>
      <c r="K46" t="str">
        <f t="shared" si="7"/>
        <v>EPM_Practice_India_-_IntegrationSr. Integration Developer</v>
      </c>
      <c r="M46" t="str">
        <f t="shared" si="1"/>
        <v>EPM_Practice_India_-_Integration</v>
      </c>
      <c r="N46" s="185" t="str">
        <f t="shared" si="8"/>
        <v>Sr. Integration Developer</v>
      </c>
      <c r="O46" t="str">
        <f t="shared" si="9"/>
        <v>Prem Ramireddy</v>
      </c>
      <c r="P46" t="str" cm="1">
        <f t="array" ref="P46">INDEX(_xlfn.TEXTSPLIT(B46," "),3)</f>
        <v>India</v>
      </c>
      <c r="S46" t="str">
        <v>EPM_Practice_USA_-_IntegrationSr. Solution Architect</v>
      </c>
      <c r="W46" t="str">
        <v>Sr. DBA</v>
      </c>
    </row>
    <row r="47" spans="1:23" x14ac:dyDescent="0.25">
      <c r="A47" s="33" t="s">
        <v>1131</v>
      </c>
      <c r="B47" s="33" t="s">
        <v>1199</v>
      </c>
      <c r="C47" s="33" t="s">
        <v>1229</v>
      </c>
      <c r="D47" s="33" t="s">
        <v>1182</v>
      </c>
      <c r="E47" s="33" t="s">
        <v>261</v>
      </c>
      <c r="F47" s="33" t="s">
        <v>1172</v>
      </c>
      <c r="H47" t="str">
        <f t="shared" si="0"/>
        <v>EPM Practice India - Integration</v>
      </c>
      <c r="J47" t="str">
        <f t="shared" si="4"/>
        <v>EPM_Practice_India_-_Integration</v>
      </c>
      <c r="K47" t="str">
        <f t="shared" si="7"/>
        <v>EPM_Practice_India_-_IntegrationApplication Developer - DI</v>
      </c>
      <c r="M47" t="str">
        <f t="shared" si="1"/>
        <v>EPM_Practice_India_-_Integration</v>
      </c>
      <c r="N47" s="185" t="str">
        <f t="shared" si="8"/>
        <v>Application Developer - DI</v>
      </c>
      <c r="O47" t="str">
        <f t="shared" si="9"/>
        <v>Nidhi M</v>
      </c>
      <c r="P47" t="str" cm="1">
        <f t="array" ref="P47">INDEX(_xlfn.TEXTSPLIT(B47," "),3)</f>
        <v>India</v>
      </c>
      <c r="S47" t="str">
        <v>EPM_Practice_USA_-_IntegrationSolution Architect - DI</v>
      </c>
      <c r="W47" t="str">
        <v>Sr. Developer</v>
      </c>
    </row>
    <row r="48" spans="1:23" x14ac:dyDescent="0.25">
      <c r="A48" s="33" t="s">
        <v>1131</v>
      </c>
      <c r="B48" s="33" t="s">
        <v>1199</v>
      </c>
      <c r="C48" s="33" t="s">
        <v>1230</v>
      </c>
      <c r="D48" s="33" t="s">
        <v>1231</v>
      </c>
      <c r="E48" s="33" t="s">
        <v>254</v>
      </c>
      <c r="F48" s="33" t="s">
        <v>1172</v>
      </c>
      <c r="H48" t="str">
        <f t="shared" si="0"/>
        <v>EPM Practice India - Integration</v>
      </c>
      <c r="J48" t="str">
        <f t="shared" si="4"/>
        <v>EPM_Practice_India_-_Integration</v>
      </c>
      <c r="K48" t="str">
        <f t="shared" si="7"/>
        <v>EPM_Practice_India_-_IntegrationIntegration Lead</v>
      </c>
      <c r="M48" t="str">
        <f t="shared" si="1"/>
        <v>EPM_Practice_India_-_Integration</v>
      </c>
      <c r="N48" s="185" t="str">
        <f t="shared" si="8"/>
        <v>Integration Lead</v>
      </c>
      <c r="O48" t="str">
        <f t="shared" si="9"/>
        <v>Manju Komara</v>
      </c>
      <c r="P48" t="str" cm="1">
        <f t="array" ref="P48">INDEX(_xlfn.TEXTSPLIT(B48," "),3)</f>
        <v>India</v>
      </c>
      <c r="S48" t="str">
        <v>EPM_Practice_USA_-_IntegrationSr. Application Support Lead</v>
      </c>
      <c r="W48" t="str">
        <v>Sr. Functional Lead</v>
      </c>
    </row>
    <row r="49" spans="1:23" x14ac:dyDescent="0.25">
      <c r="A49" s="33" t="s">
        <v>1131</v>
      </c>
      <c r="B49" s="33" t="s">
        <v>1199</v>
      </c>
      <c r="C49" s="33" t="s">
        <v>1232</v>
      </c>
      <c r="D49" s="33" t="s">
        <v>1233</v>
      </c>
      <c r="E49" s="33" t="s">
        <v>261</v>
      </c>
      <c r="F49" s="33" t="s">
        <v>1172</v>
      </c>
      <c r="H49" t="str">
        <f t="shared" si="0"/>
        <v>EPM Practice India - Integration</v>
      </c>
      <c r="J49" t="str">
        <f t="shared" si="4"/>
        <v>EPM_Practice_India_-_Integration</v>
      </c>
      <c r="K49" t="str">
        <f t="shared" si="7"/>
        <v>EPM_Practice_India_-_IntegrationApplication Developer - DI</v>
      </c>
      <c r="M49" t="str">
        <f t="shared" si="1"/>
        <v>EPM_Practice_India_-_Integration</v>
      </c>
      <c r="N49" s="185" t="str">
        <f t="shared" si="8"/>
        <v>Application Developer - DI</v>
      </c>
      <c r="O49" t="str">
        <f t="shared" si="9"/>
        <v>Jamuna Kannan</v>
      </c>
      <c r="P49" t="str" cm="1">
        <f t="array" ref="P49">INDEX(_xlfn.TEXTSPLIT(B49," "),3)</f>
        <v>India</v>
      </c>
      <c r="S49" t="str">
        <v>EPM_Practice_USA_-_IntegrationApplication Lead</v>
      </c>
      <c r="W49" t="str">
        <v>Sr. Integration Developer</v>
      </c>
    </row>
    <row r="50" spans="1:23" x14ac:dyDescent="0.25">
      <c r="A50" s="33" t="s">
        <v>1131</v>
      </c>
      <c r="B50" s="33" t="s">
        <v>1199</v>
      </c>
      <c r="C50" s="33" t="s">
        <v>1234</v>
      </c>
      <c r="D50" s="33" t="s">
        <v>1235</v>
      </c>
      <c r="E50" s="33" t="s">
        <v>257</v>
      </c>
      <c r="F50" s="33" t="s">
        <v>1172</v>
      </c>
      <c r="H50" t="str">
        <f t="shared" si="0"/>
        <v>EPM Practice India - Integration</v>
      </c>
      <c r="J50" t="str">
        <f t="shared" si="4"/>
        <v>EPM_Practice_India_-_Integration</v>
      </c>
      <c r="K50" t="str">
        <f t="shared" si="7"/>
        <v>EPM_Practice_India_-_IntegrationSr. Application Developer - DI</v>
      </c>
      <c r="M50" t="str">
        <f t="shared" si="1"/>
        <v>EPM_Practice_India_-_Integration</v>
      </c>
      <c r="N50" s="185" t="str">
        <f t="shared" si="8"/>
        <v>Sr. Application Developer - DI</v>
      </c>
      <c r="O50" t="str">
        <f t="shared" si="9"/>
        <v>Indira Beeram</v>
      </c>
      <c r="P50" t="str" cm="1">
        <f t="array" ref="P50">INDEX(_xlfn.TEXTSPLIT(B50," "),3)</f>
        <v>India</v>
      </c>
      <c r="S50" t="str">
        <v>EPM_Practice_USA_-_Managed_ServicesSr. Application Support Lead</v>
      </c>
      <c r="W50" t="str">
        <v>Sr. Integration Lead</v>
      </c>
    </row>
    <row r="51" spans="1:23" x14ac:dyDescent="0.25">
      <c r="A51" s="33" t="s">
        <v>1131</v>
      </c>
      <c r="B51" s="33" t="s">
        <v>1199</v>
      </c>
      <c r="C51" s="33" t="s">
        <v>1236</v>
      </c>
      <c r="D51" s="33" t="s">
        <v>1190</v>
      </c>
      <c r="E51" s="33" t="s">
        <v>230</v>
      </c>
      <c r="F51" s="33" t="s">
        <v>1172</v>
      </c>
      <c r="H51" t="str">
        <f t="shared" si="0"/>
        <v>EPM Practice India - Integration</v>
      </c>
      <c r="J51" t="str">
        <f t="shared" si="4"/>
        <v>EPM_Practice_India_-_Integration</v>
      </c>
      <c r="K51" t="str">
        <f t="shared" si="7"/>
        <v>EPM_Practice_India_-_IntegrationSr. Software Engineer</v>
      </c>
      <c r="M51" t="str">
        <f t="shared" si="1"/>
        <v>EPM_Practice_India_-_Integration</v>
      </c>
      <c r="N51" s="185" t="str">
        <f t="shared" si="8"/>
        <v>Sr. Software Engineer</v>
      </c>
      <c r="O51" t="str">
        <f t="shared" si="9"/>
        <v>Anusha M P</v>
      </c>
      <c r="P51" t="str" cm="1">
        <f t="array" ref="P51">INDEX(_xlfn.TEXTSPLIT(B51," "),3)</f>
        <v>India</v>
      </c>
      <c r="S51" t="str">
        <v>EPM_Practice_USA_-_Managed_ServicesSr. Application Developer</v>
      </c>
      <c r="W51" t="str">
        <v>Sr. Program Lead</v>
      </c>
    </row>
    <row r="52" spans="1:23" x14ac:dyDescent="0.25">
      <c r="A52" s="33" t="s">
        <v>1131</v>
      </c>
      <c r="B52" s="33" t="s">
        <v>1199</v>
      </c>
      <c r="C52" s="33" t="s">
        <v>1237</v>
      </c>
      <c r="D52" s="33" t="s">
        <v>1238</v>
      </c>
      <c r="E52" s="33" t="s">
        <v>267</v>
      </c>
      <c r="F52" s="33" t="s">
        <v>1172</v>
      </c>
      <c r="H52" t="str">
        <f t="shared" si="0"/>
        <v>EPM Practice India - Integration</v>
      </c>
      <c r="J52" t="str">
        <f t="shared" si="4"/>
        <v>EPM_Practice_India_-_Integration</v>
      </c>
      <c r="K52" t="str">
        <f t="shared" si="7"/>
        <v>EPM_Practice_India_-_IntegrationSr. Integration Lead</v>
      </c>
      <c r="M52" t="str">
        <f t="shared" si="1"/>
        <v>EPM_Practice_India_-_Integration</v>
      </c>
      <c r="N52" s="185" t="str">
        <f t="shared" si="8"/>
        <v>Sr. Integration Lead</v>
      </c>
      <c r="O52" t="str">
        <f t="shared" si="9"/>
        <v>Ankur Shrivastava</v>
      </c>
      <c r="P52" t="str" cm="1">
        <f t="array" ref="P52">INDEX(_xlfn.TEXTSPLIT(B52," "),3)</f>
        <v>India</v>
      </c>
      <c r="S52" t="str">
        <v>EPM_Practice_USA_-_Managed_ServicesApplication Support Lead - FCC</v>
      </c>
      <c r="W52" t="str">
        <v>Sr. Program Manager</v>
      </c>
    </row>
    <row r="53" spans="1:23" x14ac:dyDescent="0.25">
      <c r="A53" s="33" t="s">
        <v>1131</v>
      </c>
      <c r="B53" s="33" t="s">
        <v>1239</v>
      </c>
      <c r="C53" s="33" t="s">
        <v>1240</v>
      </c>
      <c r="D53" s="33" t="s">
        <v>1241</v>
      </c>
      <c r="E53" s="33" t="s">
        <v>270</v>
      </c>
      <c r="F53" s="33" t="s">
        <v>1172</v>
      </c>
      <c r="H53" t="str">
        <f t="shared" si="0"/>
        <v>EPM Practice India - Planning</v>
      </c>
      <c r="J53" t="str">
        <f t="shared" si="4"/>
        <v>EPM_Practice_India_-_Planning</v>
      </c>
      <c r="K53" t="str">
        <f t="shared" si="7"/>
        <v>EPM_Practice_India_-_PlanningSr. Application Lead - PLN</v>
      </c>
      <c r="M53" t="str">
        <f t="shared" si="1"/>
        <v>EPM_Practice_India_-_Planning</v>
      </c>
      <c r="N53" s="185" t="str">
        <f t="shared" si="8"/>
        <v>Sr. Application Lead - PLN</v>
      </c>
      <c r="O53" t="str">
        <f t="shared" si="9"/>
        <v>Anil Kumar Urs</v>
      </c>
      <c r="P53" t="str" cm="1">
        <f t="array" ref="P53">INDEX(_xlfn.TEXTSPLIT(B53," "),3)</f>
        <v>India</v>
      </c>
      <c r="S53" t="str">
        <v>EPM_Practice_USA_-_Managed_ServicesSr. Application Lead - PLN</v>
      </c>
      <c r="W53" t="str">
        <v>Sr. Project Manager</v>
      </c>
    </row>
    <row r="54" spans="1:23" x14ac:dyDescent="0.25">
      <c r="A54" s="33" t="s">
        <v>1131</v>
      </c>
      <c r="B54" s="33" t="s">
        <v>1239</v>
      </c>
      <c r="C54" s="33" t="s">
        <v>1242</v>
      </c>
      <c r="D54" s="33" t="s">
        <v>1243</v>
      </c>
      <c r="E54" s="33" t="s">
        <v>272</v>
      </c>
      <c r="F54" s="33" t="s">
        <v>1172</v>
      </c>
      <c r="H54" t="str">
        <f t="shared" si="0"/>
        <v>EPM Practice India - Planning</v>
      </c>
      <c r="J54" t="str">
        <f t="shared" si="4"/>
        <v>EPM_Practice_India_-_Planning</v>
      </c>
      <c r="K54" t="str">
        <f t="shared" si="7"/>
        <v>EPM_Practice_India_-_PlanningSr. Application Developer</v>
      </c>
      <c r="M54" t="str">
        <f t="shared" si="1"/>
        <v>EPM_Practice_India_-_Planning</v>
      </c>
      <c r="N54" s="185" t="str">
        <f t="shared" si="8"/>
        <v>Sr. Application Developer</v>
      </c>
      <c r="O54" t="str">
        <f t="shared" si="9"/>
        <v>Sai Kumar Reddy Gudipally</v>
      </c>
      <c r="P54" t="str" cm="1">
        <f t="array" ref="P54">INDEX(_xlfn.TEXTSPLIT(B54," "),3)</f>
        <v>India</v>
      </c>
      <c r="S54" t="str">
        <v>EPM_Practice_USA_-_Managed_ServicesSr. Application Support Lead - FCC</v>
      </c>
      <c r="W54" t="str">
        <v>Sr. QA Tester - Automation</v>
      </c>
    </row>
    <row r="55" spans="1:23" x14ac:dyDescent="0.25">
      <c r="A55" s="33" t="s">
        <v>1131</v>
      </c>
      <c r="B55" s="33" t="s">
        <v>1239</v>
      </c>
      <c r="C55" s="33" t="s">
        <v>1244</v>
      </c>
      <c r="D55" s="33" t="s">
        <v>1245</v>
      </c>
      <c r="E55" s="33" t="s">
        <v>274</v>
      </c>
      <c r="F55" s="33" t="s">
        <v>1172</v>
      </c>
      <c r="H55" t="str">
        <f t="shared" si="0"/>
        <v>EPM Practice India - Planning</v>
      </c>
      <c r="J55" t="str">
        <f t="shared" si="4"/>
        <v>EPM_Practice_India_-_Planning</v>
      </c>
      <c r="K55" t="str">
        <f t="shared" si="7"/>
        <v>EPM_Practice_India_-_PlanningSolution Architect - PLN</v>
      </c>
      <c r="M55" t="str">
        <f t="shared" si="1"/>
        <v>EPM_Practice_India_-_Planning</v>
      </c>
      <c r="N55" s="185" t="str">
        <f t="shared" si="8"/>
        <v>Solution Architect - PLN</v>
      </c>
      <c r="O55" t="str">
        <f t="shared" si="9"/>
        <v>Anagha Kale</v>
      </c>
      <c r="P55" t="str" cm="1">
        <f t="array" ref="P55">INDEX(_xlfn.TEXTSPLIT(B55," "),3)</f>
        <v>India</v>
      </c>
      <c r="S55" t="str">
        <v>EPM_Practice_USA_-_Managed_ServicesSr. Application Lead - FCC</v>
      </c>
      <c r="W55" t="str">
        <v>Sr. QA Tester - Manual</v>
      </c>
    </row>
    <row r="56" spans="1:23" x14ac:dyDescent="0.25">
      <c r="A56" s="33" t="s">
        <v>1131</v>
      </c>
      <c r="B56" s="33" t="s">
        <v>1239</v>
      </c>
      <c r="C56" s="33" t="s">
        <v>1246</v>
      </c>
      <c r="D56" s="33" t="s">
        <v>1247</v>
      </c>
      <c r="E56" s="33" t="s">
        <v>274</v>
      </c>
      <c r="F56" s="33" t="s">
        <v>1172</v>
      </c>
      <c r="H56" t="str">
        <f t="shared" si="0"/>
        <v>EPM Practice India - Planning</v>
      </c>
      <c r="J56" t="str">
        <f t="shared" si="4"/>
        <v>EPM_Practice_India_-_Planning</v>
      </c>
      <c r="K56" t="str">
        <f t="shared" si="7"/>
        <v>EPM_Practice_India_-_PlanningSolution Architect - PLN</v>
      </c>
      <c r="M56" t="str">
        <f t="shared" si="1"/>
        <v>EPM_Practice_India_-_Planning</v>
      </c>
      <c r="N56" s="185" t="str">
        <f t="shared" si="8"/>
        <v>Solution Architect - PLN</v>
      </c>
      <c r="O56" t="str">
        <f t="shared" si="9"/>
        <v>Krishna Kranthi Grandhi</v>
      </c>
      <c r="P56" t="str" cm="1">
        <f t="array" ref="P56">INDEX(_xlfn.TEXTSPLIT(B56," "),3)</f>
        <v>India</v>
      </c>
      <c r="S56" t="str">
        <v>EPM_Practice_USA_-_PlanningSolution Architect - PLN</v>
      </c>
      <c r="W56" t="str">
        <v>Sr. Software Engineer</v>
      </c>
    </row>
    <row r="57" spans="1:23" x14ac:dyDescent="0.25">
      <c r="A57" s="33" t="s">
        <v>1131</v>
      </c>
      <c r="B57" s="33" t="s">
        <v>1239</v>
      </c>
      <c r="C57" s="33" t="s">
        <v>1248</v>
      </c>
      <c r="D57" s="33" t="s">
        <v>1249</v>
      </c>
      <c r="E57" s="33" t="s">
        <v>274</v>
      </c>
      <c r="F57" s="33" t="s">
        <v>1172</v>
      </c>
      <c r="H57" t="str">
        <f t="shared" si="0"/>
        <v>EPM Practice India - Planning</v>
      </c>
      <c r="J57" t="str">
        <f t="shared" si="4"/>
        <v>EPM_Practice_India_-_Planning</v>
      </c>
      <c r="K57" t="str">
        <f t="shared" si="7"/>
        <v>EPM_Practice_India_-_PlanningSolution Architect - PLN</v>
      </c>
      <c r="M57" t="str">
        <f t="shared" si="1"/>
        <v>EPM_Practice_India_-_Planning</v>
      </c>
      <c r="N57" s="185" t="str">
        <f t="shared" si="8"/>
        <v>Solution Architect - PLN</v>
      </c>
      <c r="O57" t="str">
        <f t="shared" si="9"/>
        <v>Rashmi Singh</v>
      </c>
      <c r="P57" t="str" cm="1">
        <f t="array" ref="P57">INDEX(_xlfn.TEXTSPLIT(B57," "),3)</f>
        <v>India</v>
      </c>
      <c r="S57" t="str">
        <v>EPM_Practice_USA_-_PlanningPrincipal Architect</v>
      </c>
      <c r="W57" t="str">
        <v>Sr. Solution Architect</v>
      </c>
    </row>
    <row r="58" spans="1:23" x14ac:dyDescent="0.25">
      <c r="A58" s="33" t="s">
        <v>1131</v>
      </c>
      <c r="B58" s="33" t="s">
        <v>1239</v>
      </c>
      <c r="C58" s="33" t="s">
        <v>1250</v>
      </c>
      <c r="D58" s="33" t="s">
        <v>1251</v>
      </c>
      <c r="E58" s="33" t="s">
        <v>98</v>
      </c>
      <c r="F58" s="33" t="s">
        <v>1172</v>
      </c>
      <c r="H58" t="str">
        <f t="shared" si="0"/>
        <v>EPM Practice India - Planning</v>
      </c>
      <c r="J58" t="str">
        <f t="shared" si="4"/>
        <v>EPM_Practice_India_-_Planning</v>
      </c>
      <c r="K58" t="str">
        <f t="shared" si="7"/>
        <v>EPM_Practice_India_-_PlanningApplication Developer - PLN</v>
      </c>
      <c r="M58" t="str">
        <f t="shared" si="1"/>
        <v>EPM_Practice_India_-_Planning</v>
      </c>
      <c r="N58" s="185" t="str">
        <f t="shared" si="8"/>
        <v>Application Developer - PLN</v>
      </c>
      <c r="O58" t="str">
        <f t="shared" si="9"/>
        <v>Vani Vollela</v>
      </c>
      <c r="P58" t="str" cm="1">
        <f t="array" ref="P58">INDEX(_xlfn.TEXTSPLIT(B58," "),3)</f>
        <v>India</v>
      </c>
      <c r="S58" t="str">
        <v>EPM_Practice_USA_-_PlanningApplication Support Lead - EPB</v>
      </c>
      <c r="W58" t="str">
        <v>Sr. Solution Architect - FCC</v>
      </c>
    </row>
    <row r="59" spans="1:23" x14ac:dyDescent="0.25">
      <c r="A59" s="33" t="s">
        <v>1131</v>
      </c>
      <c r="B59" s="33" t="s">
        <v>1239</v>
      </c>
      <c r="C59" s="33" t="s">
        <v>1252</v>
      </c>
      <c r="D59" s="33" t="s">
        <v>1253</v>
      </c>
      <c r="E59" s="33" t="s">
        <v>270</v>
      </c>
      <c r="F59" s="33" t="s">
        <v>1172</v>
      </c>
      <c r="H59" t="str">
        <f t="shared" si="0"/>
        <v>EPM Practice India - Planning</v>
      </c>
      <c r="J59" t="str">
        <f t="shared" si="4"/>
        <v>EPM_Practice_India_-_Planning</v>
      </c>
      <c r="K59" t="str">
        <f t="shared" si="7"/>
        <v>EPM_Practice_India_-_PlanningSr. Application Lead - PLN</v>
      </c>
      <c r="M59" t="str">
        <f t="shared" si="1"/>
        <v>EPM_Practice_India_-_Planning</v>
      </c>
      <c r="N59" s="185" t="str">
        <f t="shared" si="8"/>
        <v>Sr. Application Lead - PLN</v>
      </c>
      <c r="O59" t="str">
        <f t="shared" si="9"/>
        <v>Uma Garg</v>
      </c>
      <c r="P59" t="str" cm="1">
        <f t="array" ref="P59">INDEX(_xlfn.TEXTSPLIT(B59," "),3)</f>
        <v>India</v>
      </c>
      <c r="S59" t="str">
        <v>EPM_Practice_USA_-_PlanningSr. Application Developer</v>
      </c>
      <c r="W59" t="str">
        <v>Sr. Solution Architect - PLN</v>
      </c>
    </row>
    <row r="60" spans="1:23" x14ac:dyDescent="0.25">
      <c r="A60" s="33" t="s">
        <v>1131</v>
      </c>
      <c r="B60" s="33" t="s">
        <v>1239</v>
      </c>
      <c r="C60" s="33" t="s">
        <v>1254</v>
      </c>
      <c r="D60" s="33" t="s">
        <v>1255</v>
      </c>
      <c r="E60" s="33" t="s">
        <v>280</v>
      </c>
      <c r="F60" s="33" t="s">
        <v>1172</v>
      </c>
      <c r="H60" t="str">
        <f t="shared" si="0"/>
        <v>EPM Practice India - Planning</v>
      </c>
      <c r="J60" t="str">
        <f t="shared" si="4"/>
        <v>EPM_Practice_India_-_Planning</v>
      </c>
      <c r="K60" t="str">
        <f t="shared" si="7"/>
        <v>EPM_Practice_India_-_PlanningSr. Application Developer - PLN</v>
      </c>
      <c r="M60" t="str">
        <f t="shared" si="1"/>
        <v>EPM_Practice_India_-_Planning</v>
      </c>
      <c r="N60" s="185" t="str">
        <f t="shared" si="8"/>
        <v>Sr. Application Developer - PLN</v>
      </c>
      <c r="O60" t="str">
        <f t="shared" si="9"/>
        <v>Vanaja Nerellakunta</v>
      </c>
      <c r="P60" t="str" cm="1">
        <f t="array" ref="P60">INDEX(_xlfn.TEXTSPLIT(B60," "),3)</f>
        <v>India</v>
      </c>
      <c r="S60" t="str">
        <v>EPM_Practice_USA_-_PlanningIntegration Lead</v>
      </c>
      <c r="W60" t="str">
        <v>Sr. Technical Lead</v>
      </c>
    </row>
    <row r="61" spans="1:23" x14ac:dyDescent="0.25">
      <c r="A61" s="33" t="s">
        <v>1131</v>
      </c>
      <c r="B61" s="33" t="s">
        <v>1239</v>
      </c>
      <c r="C61" s="33" t="s">
        <v>1256</v>
      </c>
      <c r="D61" s="33" t="s">
        <v>1257</v>
      </c>
      <c r="E61" s="33" t="s">
        <v>241</v>
      </c>
      <c r="F61" s="33" t="s">
        <v>1172</v>
      </c>
      <c r="H61" t="str">
        <f t="shared" si="0"/>
        <v>EPM Practice India - Planning</v>
      </c>
      <c r="J61" t="str">
        <f t="shared" si="4"/>
        <v>EPM_Practice_India_-_Planning</v>
      </c>
      <c r="K61" t="str">
        <f t="shared" si="7"/>
        <v>EPM_Practice_India_-_PlanningSr. Solution Architect</v>
      </c>
      <c r="M61" t="str">
        <f t="shared" si="1"/>
        <v>EPM_Practice_India_-_Planning</v>
      </c>
      <c r="N61" s="185" t="str">
        <f t="shared" si="8"/>
        <v>Sr. Solution Architect</v>
      </c>
      <c r="O61" t="str">
        <f t="shared" si="9"/>
        <v>Ashu Singh Aswal</v>
      </c>
      <c r="P61" t="str" cm="1">
        <f t="array" ref="P61">INDEX(_xlfn.TEXTSPLIT(B61," "),3)</f>
        <v>India</v>
      </c>
      <c r="S61" t="str">
        <v>EPM_Practice_USA_-_PlanningSr. Application Developer - PLN</v>
      </c>
      <c r="W61" t="str">
        <v>Support Engineer</v>
      </c>
    </row>
    <row r="62" spans="1:23" x14ac:dyDescent="0.25">
      <c r="A62" s="33" t="s">
        <v>1131</v>
      </c>
      <c r="B62" s="33" t="s">
        <v>1239</v>
      </c>
      <c r="C62" s="33" t="s">
        <v>1258</v>
      </c>
      <c r="D62" s="33" t="s">
        <v>1259</v>
      </c>
      <c r="E62" s="33" t="s">
        <v>98</v>
      </c>
      <c r="F62" s="33" t="s">
        <v>1172</v>
      </c>
      <c r="H62" t="str">
        <f t="shared" si="0"/>
        <v>EPM Practice India - Planning</v>
      </c>
      <c r="J62" t="str">
        <f t="shared" si="4"/>
        <v>EPM_Practice_India_-_Planning</v>
      </c>
      <c r="K62" t="str">
        <f t="shared" si="7"/>
        <v>EPM_Practice_India_-_PlanningApplication Developer - PLN</v>
      </c>
      <c r="M62" t="str">
        <f t="shared" si="1"/>
        <v>EPM_Practice_India_-_Planning</v>
      </c>
      <c r="N62" s="185" t="str">
        <f t="shared" si="8"/>
        <v>Application Developer - PLN</v>
      </c>
      <c r="O62" t="str">
        <f t="shared" si="9"/>
        <v>Syeda Amatul Saboor Huzaifa</v>
      </c>
      <c r="P62" t="str" cm="1">
        <f t="array" ref="P62">INDEX(_xlfn.TEXTSPLIT(B62," "),3)</f>
        <v>India</v>
      </c>
      <c r="S62" t="str">
        <v>EPM_Practice_USA_-_PlanningApplication Lead - PLN</v>
      </c>
      <c r="W62" t="str">
        <v>Technical Lead</v>
      </c>
    </row>
    <row r="63" spans="1:23" x14ac:dyDescent="0.25">
      <c r="A63" s="33" t="s">
        <v>1131</v>
      </c>
      <c r="B63" s="33" t="s">
        <v>1239</v>
      </c>
      <c r="C63" s="33" t="s">
        <v>1260</v>
      </c>
      <c r="D63" s="33" t="s">
        <v>1261</v>
      </c>
      <c r="E63" s="33" t="s">
        <v>226</v>
      </c>
      <c r="F63" s="33" t="s">
        <v>1172</v>
      </c>
      <c r="H63" t="str">
        <f t="shared" si="0"/>
        <v>EPM Practice India - Planning</v>
      </c>
      <c r="J63" t="str">
        <f t="shared" si="4"/>
        <v>EPM_Practice_India_-_Planning</v>
      </c>
      <c r="K63" t="str">
        <f t="shared" si="7"/>
        <v>EPM_Practice_India_-_PlanningSoftware Engineer</v>
      </c>
      <c r="M63" t="str">
        <f t="shared" si="1"/>
        <v>EPM_Practice_India_-_Planning</v>
      </c>
      <c r="N63" s="185" t="str">
        <f t="shared" si="8"/>
        <v>Software Engineer</v>
      </c>
      <c r="O63" t="str">
        <f t="shared" si="9"/>
        <v>Vadisela Pavan Kumar Reddy</v>
      </c>
      <c r="P63" t="str" cm="1">
        <f t="array" ref="P63">INDEX(_xlfn.TEXTSPLIT(B63," "),3)</f>
        <v>India</v>
      </c>
      <c r="S63" t="str">
        <v>EPM_Practice_USA_-_PlanningApplication Developer - PLN</v>
      </c>
      <c r="W63" t="str">
        <v>Techno-Functional Finance Lead</v>
      </c>
    </row>
    <row r="64" spans="1:23" x14ac:dyDescent="0.25">
      <c r="A64" s="33" t="s">
        <v>1131</v>
      </c>
      <c r="B64" s="33" t="s">
        <v>1239</v>
      </c>
      <c r="C64" s="33" t="s">
        <v>1262</v>
      </c>
      <c r="D64" s="33" t="s">
        <v>1263</v>
      </c>
      <c r="E64" s="33" t="s">
        <v>226</v>
      </c>
      <c r="F64" s="33" t="s">
        <v>1172</v>
      </c>
      <c r="H64" t="str">
        <f t="shared" si="0"/>
        <v>EPM Practice India - Planning</v>
      </c>
      <c r="J64" t="str">
        <f t="shared" si="4"/>
        <v>EPM_Practice_India_-_Planning</v>
      </c>
      <c r="K64" t="str">
        <f t="shared" si="7"/>
        <v>EPM_Practice_India_-_PlanningSoftware Engineer</v>
      </c>
      <c r="M64" t="str">
        <f t="shared" si="1"/>
        <v>EPM_Practice_India_-_Planning</v>
      </c>
      <c r="N64" s="185" t="str">
        <f t="shared" si="8"/>
        <v>Software Engineer</v>
      </c>
      <c r="O64" t="str">
        <f t="shared" si="9"/>
        <v>Girinath B</v>
      </c>
      <c r="P64" t="str" cm="1">
        <f t="array" ref="P64">INDEX(_xlfn.TEXTSPLIT(B64," "),3)</f>
        <v>India</v>
      </c>
      <c r="S64" t="str">
        <v>EPM_Practice_USA_-_PlanningSolution Architect</v>
      </c>
      <c r="W64">
        <v>0</v>
      </c>
    </row>
    <row r="65" spans="1:19" x14ac:dyDescent="0.25">
      <c r="A65" s="33" t="s">
        <v>1131</v>
      </c>
      <c r="B65" s="33" t="s">
        <v>1239</v>
      </c>
      <c r="C65" s="33" t="s">
        <v>1264</v>
      </c>
      <c r="D65" s="33" t="s">
        <v>1213</v>
      </c>
      <c r="E65" s="33" t="s">
        <v>226</v>
      </c>
      <c r="F65" s="33" t="s">
        <v>1172</v>
      </c>
      <c r="H65" t="str">
        <f t="shared" si="0"/>
        <v>EPM Practice India - Planning</v>
      </c>
      <c r="J65" t="str">
        <f t="shared" si="4"/>
        <v>EPM_Practice_India_-_Planning</v>
      </c>
      <c r="K65" t="str">
        <f t="shared" si="7"/>
        <v>EPM_Practice_India_-_PlanningSoftware Engineer</v>
      </c>
      <c r="M65" t="str">
        <f t="shared" si="1"/>
        <v>EPM_Practice_India_-_Planning</v>
      </c>
      <c r="N65" s="185" t="str">
        <f t="shared" si="8"/>
        <v>Software Engineer</v>
      </c>
      <c r="O65" t="str">
        <f t="shared" si="9"/>
        <v>Karaneeshwaran K</v>
      </c>
      <c r="P65" t="str" cm="1">
        <f t="array" ref="P65">INDEX(_xlfn.TEXTSPLIT(B65," "),3)</f>
        <v>India</v>
      </c>
      <c r="S65" t="str">
        <v>EPM_Practice_USA_-_PlanningApplication Developer</v>
      </c>
    </row>
    <row r="66" spans="1:19" x14ac:dyDescent="0.25">
      <c r="A66" s="33" t="s">
        <v>1131</v>
      </c>
      <c r="B66" s="33" t="s">
        <v>1239</v>
      </c>
      <c r="C66" s="33" t="s">
        <v>1265</v>
      </c>
      <c r="D66" s="33" t="s">
        <v>1266</v>
      </c>
      <c r="E66" s="33" t="s">
        <v>226</v>
      </c>
      <c r="F66" s="33" t="s">
        <v>1172</v>
      </c>
      <c r="H66" t="str">
        <f t="shared" si="0"/>
        <v>EPM Practice India - Planning</v>
      </c>
      <c r="J66" t="str">
        <f t="shared" si="4"/>
        <v>EPM_Practice_India_-_Planning</v>
      </c>
      <c r="K66" t="str">
        <f t="shared" si="7"/>
        <v>EPM_Practice_India_-_PlanningSoftware Engineer</v>
      </c>
      <c r="M66" t="str">
        <f t="shared" si="1"/>
        <v>EPM_Practice_India_-_Planning</v>
      </c>
      <c r="N66" s="185" t="str">
        <f t="shared" si="8"/>
        <v>Software Engineer</v>
      </c>
      <c r="O66" t="str">
        <f t="shared" si="9"/>
        <v>Shreepriya V</v>
      </c>
      <c r="P66" t="str" cm="1">
        <f t="array" ref="P66">INDEX(_xlfn.TEXTSPLIT(B66," "),3)</f>
        <v>India</v>
      </c>
      <c r="S66" t="str">
        <v>EPM_Practice_USA_-_PlanningSr. Application Lead</v>
      </c>
    </row>
    <row r="67" spans="1:19" x14ac:dyDescent="0.25">
      <c r="A67" s="33" t="s">
        <v>1131</v>
      </c>
      <c r="B67" s="33" t="s">
        <v>1239</v>
      </c>
      <c r="C67" s="33" t="s">
        <v>1267</v>
      </c>
      <c r="D67" s="33" t="s">
        <v>1268</v>
      </c>
      <c r="E67" s="33" t="s">
        <v>226</v>
      </c>
      <c r="F67" s="33" t="s">
        <v>1172</v>
      </c>
      <c r="H67" t="str">
        <f t="shared" ref="H67:H130" si="10">SUBSTITUTE(SUBSTITUTE(B67,"Organizational Effectiveness","EPM"),"CPM","EPM")</f>
        <v>EPM Practice India - Planning</v>
      </c>
      <c r="J67" t="str">
        <f t="shared" si="4"/>
        <v>EPM_Practice_India_-_Planning</v>
      </c>
      <c r="K67" t="str">
        <f t="shared" si="7"/>
        <v>EPM_Practice_India_-_PlanningSoftware Engineer</v>
      </c>
      <c r="M67" t="str">
        <f t="shared" ref="M67:M130" si="11">J67</f>
        <v>EPM_Practice_India_-_Planning</v>
      </c>
      <c r="N67" s="185" t="str">
        <f t="shared" si="8"/>
        <v>Software Engineer</v>
      </c>
      <c r="O67" t="str">
        <f t="shared" si="9"/>
        <v>Saran Jayaprakash</v>
      </c>
      <c r="P67" t="str" cm="1">
        <f t="array" ref="P67">INDEX(_xlfn.TEXTSPLIT(B67," "),3)</f>
        <v>India</v>
      </c>
      <c r="S67" t="str">
        <v>ERP_Practice_ArgentinaApplication Developer</v>
      </c>
    </row>
    <row r="68" spans="1:19" x14ac:dyDescent="0.25">
      <c r="A68" s="33" t="s">
        <v>1131</v>
      </c>
      <c r="B68" s="33" t="s">
        <v>1239</v>
      </c>
      <c r="C68" s="33" t="s">
        <v>1269</v>
      </c>
      <c r="D68" s="33" t="s">
        <v>1270</v>
      </c>
      <c r="E68" s="33" t="s">
        <v>226</v>
      </c>
      <c r="F68" s="33" t="s">
        <v>1172</v>
      </c>
      <c r="H68" t="str">
        <f t="shared" si="10"/>
        <v>EPM Practice India - Planning</v>
      </c>
      <c r="J68" t="str">
        <f t="shared" ref="J68:J131" si="12">SUBSTITUTE(TRIM(H68)," ","_")</f>
        <v>EPM_Practice_India_-_Planning</v>
      </c>
      <c r="K68" t="str">
        <f t="shared" si="7"/>
        <v>EPM_Practice_India_-_PlanningSoftware Engineer</v>
      </c>
      <c r="M68" t="str">
        <f t="shared" si="11"/>
        <v>EPM_Practice_India_-_Planning</v>
      </c>
      <c r="N68" s="185" t="str">
        <f t="shared" si="8"/>
        <v>Software Engineer</v>
      </c>
      <c r="O68" t="str">
        <f t="shared" si="9"/>
        <v>Sharmila S</v>
      </c>
      <c r="P68" t="str" cm="1">
        <f t="array" ref="P68">INDEX(_xlfn.TEXTSPLIT(B68," "),3)</f>
        <v>India</v>
      </c>
      <c r="S68" t="str">
        <v>ERP_Practice_ArgentinaSr. Application Lead</v>
      </c>
    </row>
    <row r="69" spans="1:19" x14ac:dyDescent="0.25">
      <c r="A69" s="33" t="s">
        <v>1131</v>
      </c>
      <c r="B69" s="33" t="s">
        <v>1239</v>
      </c>
      <c r="C69" s="33" t="s">
        <v>1271</v>
      </c>
      <c r="D69" s="33" t="s">
        <v>1272</v>
      </c>
      <c r="E69" s="33" t="s">
        <v>226</v>
      </c>
      <c r="F69" s="33" t="s">
        <v>1172</v>
      </c>
      <c r="H69" t="str">
        <f t="shared" si="10"/>
        <v>EPM Practice India - Planning</v>
      </c>
      <c r="J69" t="str">
        <f t="shared" si="12"/>
        <v>EPM_Practice_India_-_Planning</v>
      </c>
      <c r="K69" t="str">
        <f t="shared" si="7"/>
        <v>EPM_Practice_India_-_PlanningSoftware Engineer</v>
      </c>
      <c r="M69" t="str">
        <f t="shared" si="11"/>
        <v>EPM_Practice_India_-_Planning</v>
      </c>
      <c r="N69" s="185" t="str">
        <f t="shared" si="8"/>
        <v>Software Engineer</v>
      </c>
      <c r="O69" t="str">
        <f t="shared" si="9"/>
        <v>Deep Narayan Sharma</v>
      </c>
      <c r="P69" t="str" cm="1">
        <f t="array" ref="P69">INDEX(_xlfn.TEXTSPLIT(B69," "),3)</f>
        <v>India</v>
      </c>
      <c r="S69" t="str">
        <v>ERP_Practice_ArgentinaSr. Functional Lead</v>
      </c>
    </row>
    <row r="70" spans="1:19" x14ac:dyDescent="0.25">
      <c r="A70" s="33" t="s">
        <v>1131</v>
      </c>
      <c r="B70" s="33" t="s">
        <v>1239</v>
      </c>
      <c r="C70" s="33" t="s">
        <v>1273</v>
      </c>
      <c r="D70" s="33" t="s">
        <v>1274</v>
      </c>
      <c r="E70" s="33" t="s">
        <v>291</v>
      </c>
      <c r="F70" s="33" t="s">
        <v>1172</v>
      </c>
      <c r="H70" t="str">
        <f t="shared" si="10"/>
        <v>EPM Practice India - Planning</v>
      </c>
      <c r="J70" t="str">
        <f t="shared" si="12"/>
        <v>EPM_Practice_India_-_Planning</v>
      </c>
      <c r="K70" t="str">
        <f t="shared" si="7"/>
        <v>EPM_Practice_India_-_PlanningApplication Lead - PLN</v>
      </c>
      <c r="M70" t="str">
        <f t="shared" si="11"/>
        <v>EPM_Practice_India_-_Planning</v>
      </c>
      <c r="N70" s="185" t="str">
        <f t="shared" si="8"/>
        <v>Application Lead - PLN</v>
      </c>
      <c r="O70" t="str">
        <f t="shared" si="9"/>
        <v>Visweswari Somaiahgari</v>
      </c>
      <c r="P70" t="str" cm="1">
        <f t="array" ref="P70">INDEX(_xlfn.TEXTSPLIT(B70," "),3)</f>
        <v>India</v>
      </c>
      <c r="S70" t="str">
        <v>ERP_Practice_ArgentinaSr. Application Developer</v>
      </c>
    </row>
    <row r="71" spans="1:19" x14ac:dyDescent="0.25">
      <c r="A71" s="33" t="s">
        <v>1131</v>
      </c>
      <c r="B71" s="33" t="s">
        <v>1239</v>
      </c>
      <c r="C71" s="33" t="s">
        <v>1275</v>
      </c>
      <c r="D71" s="33" t="s">
        <v>1276</v>
      </c>
      <c r="E71" s="33" t="s">
        <v>291</v>
      </c>
      <c r="F71" s="33" t="s">
        <v>1172</v>
      </c>
      <c r="H71" t="str">
        <f t="shared" si="10"/>
        <v>EPM Practice India - Planning</v>
      </c>
      <c r="J71" t="str">
        <f t="shared" si="12"/>
        <v>EPM_Practice_India_-_Planning</v>
      </c>
      <c r="K71" t="str">
        <f t="shared" si="7"/>
        <v>EPM_Practice_India_-_PlanningApplication Lead - PLN</v>
      </c>
      <c r="M71" t="str">
        <f t="shared" si="11"/>
        <v>EPM_Practice_India_-_Planning</v>
      </c>
      <c r="N71" s="185" t="str">
        <f t="shared" si="8"/>
        <v>Application Lead - PLN</v>
      </c>
      <c r="O71" t="str">
        <f t="shared" si="9"/>
        <v>Shabnam Fairoz</v>
      </c>
      <c r="P71" t="str" cm="1">
        <f t="array" ref="P71">INDEX(_xlfn.TEXTSPLIT(B71," "),3)</f>
        <v>India</v>
      </c>
      <c r="S71" t="str">
        <v>ERP_Practice_ArgentinaSr. Project Manager</v>
      </c>
    </row>
    <row r="72" spans="1:19" x14ac:dyDescent="0.25">
      <c r="A72" s="33" t="s">
        <v>1131</v>
      </c>
      <c r="B72" s="33" t="s">
        <v>1239</v>
      </c>
      <c r="C72" s="33" t="s">
        <v>1277</v>
      </c>
      <c r="D72" s="33" t="s">
        <v>1278</v>
      </c>
      <c r="E72" s="33" t="s">
        <v>294</v>
      </c>
      <c r="F72" s="33" t="s">
        <v>1172</v>
      </c>
      <c r="H72" t="str">
        <f t="shared" si="10"/>
        <v>EPM Practice India - Planning</v>
      </c>
      <c r="J72" t="str">
        <f t="shared" si="12"/>
        <v>EPM_Practice_India_-_Planning</v>
      </c>
      <c r="K72" t="str">
        <f t="shared" si="7"/>
        <v>EPM_Practice_India_-_PlanningSr. Solution Architect - PLN</v>
      </c>
      <c r="M72" t="str">
        <f t="shared" si="11"/>
        <v>EPM_Practice_India_-_Planning</v>
      </c>
      <c r="N72" s="185" t="str">
        <f t="shared" si="8"/>
        <v>Sr. Solution Architect - PLN</v>
      </c>
      <c r="O72" t="str">
        <f t="shared" si="9"/>
        <v>Rinku Agrawal</v>
      </c>
      <c r="P72" t="str" cm="1">
        <f t="array" ref="P72">INDEX(_xlfn.TEXTSPLIT(B72," "),3)</f>
        <v>India</v>
      </c>
      <c r="S72" t="str">
        <v>ERP_Practice_BrazilApplication Lead</v>
      </c>
    </row>
    <row r="73" spans="1:19" x14ac:dyDescent="0.25">
      <c r="A73" s="33" t="s">
        <v>1131</v>
      </c>
      <c r="B73" s="33" t="s">
        <v>1239</v>
      </c>
      <c r="C73" s="33" t="s">
        <v>1279</v>
      </c>
      <c r="D73" s="33" t="s">
        <v>1280</v>
      </c>
      <c r="E73" s="33" t="s">
        <v>98</v>
      </c>
      <c r="F73" s="33" t="s">
        <v>1172</v>
      </c>
      <c r="H73" t="str">
        <f t="shared" si="10"/>
        <v>EPM Practice India - Planning</v>
      </c>
      <c r="J73" t="str">
        <f t="shared" si="12"/>
        <v>EPM_Practice_India_-_Planning</v>
      </c>
      <c r="K73" t="str">
        <f t="shared" si="7"/>
        <v>EPM_Practice_India_-_PlanningApplication Developer - PLN</v>
      </c>
      <c r="M73" t="str">
        <f t="shared" si="11"/>
        <v>EPM_Practice_India_-_Planning</v>
      </c>
      <c r="N73" s="185" t="str">
        <f t="shared" si="8"/>
        <v>Application Developer - PLN</v>
      </c>
      <c r="O73" t="str">
        <f t="shared" si="9"/>
        <v>Kruthika Sidnal</v>
      </c>
      <c r="P73" t="str" cm="1">
        <f t="array" ref="P73">INDEX(_xlfn.TEXTSPLIT(B73," "),3)</f>
        <v>India</v>
      </c>
      <c r="S73" t="str">
        <v>ERP_Practice_CzechRepublicSr. Project Manager</v>
      </c>
    </row>
    <row r="74" spans="1:19" x14ac:dyDescent="0.25">
      <c r="A74" s="33" t="s">
        <v>1131</v>
      </c>
      <c r="B74" s="33" t="s">
        <v>1239</v>
      </c>
      <c r="C74" s="33" t="s">
        <v>1281</v>
      </c>
      <c r="D74" s="33" t="s">
        <v>1282</v>
      </c>
      <c r="E74" s="33" t="s">
        <v>230</v>
      </c>
      <c r="F74" s="33" t="s">
        <v>1172</v>
      </c>
      <c r="H74" t="str">
        <f t="shared" si="10"/>
        <v>EPM Practice India - Planning</v>
      </c>
      <c r="J74" t="str">
        <f t="shared" si="12"/>
        <v>EPM_Practice_India_-_Planning</v>
      </c>
      <c r="K74" t="str">
        <f t="shared" si="7"/>
        <v>EPM_Practice_India_-_PlanningSr. Software Engineer</v>
      </c>
      <c r="M74" t="str">
        <f t="shared" si="11"/>
        <v>EPM_Practice_India_-_Planning</v>
      </c>
      <c r="N74" s="185" t="str">
        <f t="shared" si="8"/>
        <v>Sr. Software Engineer</v>
      </c>
      <c r="O74" t="str">
        <f t="shared" si="9"/>
        <v>Kashinath Manoharan</v>
      </c>
      <c r="P74" t="str" cm="1">
        <f t="array" ref="P74">INDEX(_xlfn.TEXTSPLIT(B74," "),3)</f>
        <v>India</v>
      </c>
      <c r="S74" t="str">
        <v>ERP_Practice_GermanyPrincipal</v>
      </c>
    </row>
    <row r="75" spans="1:19" ht="30" x14ac:dyDescent="0.25">
      <c r="A75" s="33" t="s">
        <v>1131</v>
      </c>
      <c r="B75" s="33" t="s">
        <v>1239</v>
      </c>
      <c r="C75" s="33" t="s">
        <v>1283</v>
      </c>
      <c r="D75" s="33" t="s">
        <v>1284</v>
      </c>
      <c r="E75" s="33" t="s">
        <v>280</v>
      </c>
      <c r="F75" s="33" t="s">
        <v>1172</v>
      </c>
      <c r="H75" t="str">
        <f t="shared" si="10"/>
        <v>EPM Practice India - Planning</v>
      </c>
      <c r="J75" t="str">
        <f t="shared" si="12"/>
        <v>EPM_Practice_India_-_Planning</v>
      </c>
      <c r="K75" t="str">
        <f t="shared" si="7"/>
        <v>EPM_Practice_India_-_PlanningSr. Application Developer - PLN</v>
      </c>
      <c r="M75" t="str">
        <f t="shared" si="11"/>
        <v>EPM_Practice_India_-_Planning</v>
      </c>
      <c r="N75" s="185" t="str">
        <f t="shared" si="8"/>
        <v>Sr. Application Developer - PLN</v>
      </c>
      <c r="O75" t="str">
        <f t="shared" si="9"/>
        <v>Indumathi Peraiyur Chandrasekar</v>
      </c>
      <c r="P75" t="str" cm="1">
        <f t="array" ref="P75">INDEX(_xlfn.TEXTSPLIT(B75," "),3)</f>
        <v>India</v>
      </c>
      <c r="S75" t="str">
        <v>ERP_Practice_IndiaSolution Architect</v>
      </c>
    </row>
    <row r="76" spans="1:19" x14ac:dyDescent="0.25">
      <c r="A76" s="33" t="s">
        <v>1131</v>
      </c>
      <c r="B76" s="33" t="s">
        <v>1239</v>
      </c>
      <c r="C76" s="33" t="s">
        <v>1285</v>
      </c>
      <c r="D76" s="33" t="s">
        <v>1286</v>
      </c>
      <c r="E76" s="33" t="s">
        <v>274</v>
      </c>
      <c r="F76" s="33" t="s">
        <v>1172</v>
      </c>
      <c r="H76" t="str">
        <f t="shared" si="10"/>
        <v>EPM Practice India - Planning</v>
      </c>
      <c r="J76" t="str">
        <f t="shared" si="12"/>
        <v>EPM_Practice_India_-_Planning</v>
      </c>
      <c r="K76" t="str">
        <f t="shared" si="7"/>
        <v>EPM_Practice_India_-_PlanningSolution Architect - PLN</v>
      </c>
      <c r="M76" t="str">
        <f t="shared" si="11"/>
        <v>EPM_Practice_India_-_Planning</v>
      </c>
      <c r="N76" s="185" t="str">
        <f t="shared" si="8"/>
        <v>Solution Architect - PLN</v>
      </c>
      <c r="O76" t="str">
        <f t="shared" si="9"/>
        <v>Balaji Venkatachalam</v>
      </c>
      <c r="P76" t="str" cm="1">
        <f t="array" ref="P76">INDEX(_xlfn.TEXTSPLIT(B76," "),3)</f>
        <v>India</v>
      </c>
      <c r="S76" t="str">
        <v>ERP_Practice_IndiaSr. Application Developer</v>
      </c>
    </row>
    <row r="77" spans="1:19" x14ac:dyDescent="0.25">
      <c r="A77" s="33" t="s">
        <v>1131</v>
      </c>
      <c r="B77" s="33" t="s">
        <v>1287</v>
      </c>
      <c r="C77" s="33" t="s">
        <v>1288</v>
      </c>
      <c r="D77" s="33" t="s">
        <v>1289</v>
      </c>
      <c r="E77" s="33" t="s">
        <v>216</v>
      </c>
      <c r="F77" s="33" t="s">
        <v>1135</v>
      </c>
      <c r="H77" t="str">
        <f t="shared" si="10"/>
        <v>EPM Practice USA</v>
      </c>
      <c r="J77" t="str">
        <f t="shared" si="12"/>
        <v>EPM_Practice_USA</v>
      </c>
      <c r="K77" t="str">
        <f t="shared" si="7"/>
        <v>EPM_Practice_USAApplication Developer</v>
      </c>
      <c r="M77" t="str">
        <f t="shared" si="11"/>
        <v>EPM_Practice_USA</v>
      </c>
      <c r="N77" s="185" t="str">
        <f t="shared" si="8"/>
        <v>Application Developer</v>
      </c>
      <c r="O77" t="str">
        <f t="shared" si="9"/>
        <v>Ezekiel O'Neill</v>
      </c>
      <c r="P77" t="str" cm="1">
        <f t="array" ref="P77">INDEX(_xlfn.TEXTSPLIT(B77," "),3)</f>
        <v>USA</v>
      </c>
      <c r="S77" t="str">
        <v>ERP_Practice_IndiaApplication Lead</v>
      </c>
    </row>
    <row r="78" spans="1:19" x14ac:dyDescent="0.25">
      <c r="A78" s="33" t="s">
        <v>1131</v>
      </c>
      <c r="B78" s="33" t="s">
        <v>1287</v>
      </c>
      <c r="C78" s="33" t="s">
        <v>1290</v>
      </c>
      <c r="D78" s="33" t="s">
        <v>1291</v>
      </c>
      <c r="E78" s="33" t="s">
        <v>301</v>
      </c>
      <c r="F78" s="33" t="s">
        <v>1135</v>
      </c>
      <c r="H78" t="str">
        <f t="shared" si="10"/>
        <v>EPM Practice USA</v>
      </c>
      <c r="J78" t="str">
        <f t="shared" si="12"/>
        <v>EPM_Practice_USA</v>
      </c>
      <c r="K78" t="str">
        <f t="shared" si="7"/>
        <v>EPM_Practice_USAPrincipal Architect</v>
      </c>
      <c r="M78" t="str">
        <f t="shared" si="11"/>
        <v>EPM_Practice_USA</v>
      </c>
      <c r="N78" s="185" t="str">
        <f t="shared" si="8"/>
        <v>Principal Architect</v>
      </c>
      <c r="O78" t="str">
        <f t="shared" si="9"/>
        <v>Joseph W Aultman</v>
      </c>
      <c r="P78" t="str" cm="1">
        <f t="array" ref="P78">INDEX(_xlfn.TEXTSPLIT(B78," "),3)</f>
        <v>USA</v>
      </c>
      <c r="S78" t="str">
        <v>ERP_Practice_IndiaSr. Application Lead</v>
      </c>
    </row>
    <row r="79" spans="1:19" x14ac:dyDescent="0.25">
      <c r="A79" s="33" t="s">
        <v>1131</v>
      </c>
      <c r="B79" s="33" t="s">
        <v>1287</v>
      </c>
      <c r="C79" s="33" t="s">
        <v>1292</v>
      </c>
      <c r="D79" s="33" t="s">
        <v>1293</v>
      </c>
      <c r="E79" s="33" t="s">
        <v>241</v>
      </c>
      <c r="F79" s="33" t="s">
        <v>1135</v>
      </c>
      <c r="H79" t="str">
        <f t="shared" si="10"/>
        <v>EPM Practice USA</v>
      </c>
      <c r="J79" t="str">
        <f t="shared" si="12"/>
        <v>EPM_Practice_USA</v>
      </c>
      <c r="K79" t="str">
        <f t="shared" si="7"/>
        <v>EPM_Practice_USASr. Solution Architect</v>
      </c>
      <c r="M79" t="str">
        <f t="shared" si="11"/>
        <v>EPM_Practice_USA</v>
      </c>
      <c r="N79" s="185" t="str">
        <f t="shared" si="8"/>
        <v>Sr. Solution Architect</v>
      </c>
      <c r="O79" t="str">
        <f t="shared" si="9"/>
        <v>Murali Konuri</v>
      </c>
      <c r="P79" t="str" cm="1">
        <f t="array" ref="P79">INDEX(_xlfn.TEXTSPLIT(B79," "),3)</f>
        <v>USA</v>
      </c>
      <c r="S79" t="str">
        <v>ERP_Practice_IndiaApplication Developer</v>
      </c>
    </row>
    <row r="80" spans="1:19" x14ac:dyDescent="0.25">
      <c r="A80" s="33" t="s">
        <v>1131</v>
      </c>
      <c r="B80" s="33" t="s">
        <v>1287</v>
      </c>
      <c r="C80" s="33" t="s">
        <v>1294</v>
      </c>
      <c r="D80" s="33" t="s">
        <v>1295</v>
      </c>
      <c r="E80" s="33" t="s">
        <v>301</v>
      </c>
      <c r="F80" s="33" t="s">
        <v>1135</v>
      </c>
      <c r="H80" t="str">
        <f t="shared" si="10"/>
        <v>EPM Practice USA</v>
      </c>
      <c r="J80" t="str">
        <f t="shared" si="12"/>
        <v>EPM_Practice_USA</v>
      </c>
      <c r="K80" t="str">
        <f t="shared" si="7"/>
        <v>EPM_Practice_USAPrincipal Architect</v>
      </c>
      <c r="M80" t="str">
        <f t="shared" si="11"/>
        <v>EPM_Practice_USA</v>
      </c>
      <c r="N80" s="185" t="str">
        <f t="shared" si="8"/>
        <v>Principal Architect</v>
      </c>
      <c r="O80" t="str">
        <f t="shared" si="9"/>
        <v>Dusty Johnson</v>
      </c>
      <c r="P80" t="str" cm="1">
        <f t="array" ref="P80">INDEX(_xlfn.TEXTSPLIT(B80," "),3)</f>
        <v>USA</v>
      </c>
      <c r="S80" t="str">
        <v>ERP_Practice_IndiaSr. Solution Architect</v>
      </c>
    </row>
    <row r="81" spans="1:19" x14ac:dyDescent="0.25">
      <c r="A81" t="s">
        <v>1131</v>
      </c>
      <c r="B81" s="33" t="s">
        <v>1287</v>
      </c>
      <c r="C81" t="s">
        <v>1296</v>
      </c>
      <c r="D81" t="s">
        <v>1297</v>
      </c>
      <c r="E81" t="s">
        <v>305</v>
      </c>
      <c r="F81" t="s">
        <v>1135</v>
      </c>
      <c r="H81" t="str">
        <f t="shared" si="10"/>
        <v>EPM Practice USA</v>
      </c>
      <c r="J81" t="str">
        <f t="shared" si="12"/>
        <v>EPM_Practice_USA</v>
      </c>
      <c r="K81" t="str">
        <f t="shared" si="7"/>
        <v>EPM_Practice_USAFunctional Lead</v>
      </c>
      <c r="M81" t="str">
        <f t="shared" si="11"/>
        <v>EPM_Practice_USA</v>
      </c>
      <c r="N81" s="185" t="str">
        <f t="shared" si="8"/>
        <v>Functional Lead</v>
      </c>
      <c r="O81" t="str">
        <f t="shared" si="9"/>
        <v>Christopher G Hallock</v>
      </c>
      <c r="P81" t="str" cm="1">
        <f t="array" ref="P81">INDEX(_xlfn.TEXTSPLIT(B81," "),3)</f>
        <v>USA</v>
      </c>
      <c r="S81" t="str">
        <v>ERP_Practice_MexicoApplication Developer</v>
      </c>
    </row>
    <row r="82" spans="1:19" x14ac:dyDescent="0.25">
      <c r="A82" t="s">
        <v>1298</v>
      </c>
      <c r="B82" s="33" t="s">
        <v>1287</v>
      </c>
      <c r="C82" t="s">
        <v>1299</v>
      </c>
      <c r="D82" t="s">
        <v>1300</v>
      </c>
      <c r="E82" t="s">
        <v>307</v>
      </c>
      <c r="F82" t="s">
        <v>1152</v>
      </c>
      <c r="H82" t="str">
        <f t="shared" si="10"/>
        <v>EPM Practice USA</v>
      </c>
      <c r="J82" t="str">
        <f t="shared" si="12"/>
        <v>EPM_Practice_USA</v>
      </c>
      <c r="K82" t="str">
        <f t="shared" si="7"/>
        <v>EPM_Practice_USAApplication Lead</v>
      </c>
      <c r="M82" t="str">
        <f t="shared" si="11"/>
        <v>EPM_Practice_USA</v>
      </c>
      <c r="N82" s="185" t="str">
        <f t="shared" si="8"/>
        <v>Application Lead</v>
      </c>
      <c r="O82" t="str">
        <f t="shared" si="9"/>
        <v>Julieta Juarez</v>
      </c>
      <c r="P82" t="str" cm="1">
        <f t="array" ref="P82">INDEX(_xlfn.TEXTSPLIT(B82," "),3)</f>
        <v>USA</v>
      </c>
      <c r="S82" t="str">
        <v>ERP_Practice_SpainTechno-Functional Finance Lead</v>
      </c>
    </row>
    <row r="83" spans="1:19" x14ac:dyDescent="0.25">
      <c r="A83" s="33" t="s">
        <v>1153</v>
      </c>
      <c r="B83" s="33" t="s">
        <v>1287</v>
      </c>
      <c r="C83" s="33" t="s">
        <v>1301</v>
      </c>
      <c r="D83" s="33" t="s">
        <v>1302</v>
      </c>
      <c r="E83" s="33" t="s">
        <v>309</v>
      </c>
      <c r="F83" s="33" t="s">
        <v>1303</v>
      </c>
      <c r="H83" t="str">
        <f t="shared" si="10"/>
        <v>EPM Practice USA</v>
      </c>
      <c r="J83" t="str">
        <f t="shared" si="12"/>
        <v>EPM_Practice_USA</v>
      </c>
      <c r="K83" t="str">
        <f t="shared" si="7"/>
        <v>EPM_Practice_USASolution Architect - FCC</v>
      </c>
      <c r="M83" t="str">
        <f t="shared" si="11"/>
        <v>EPM_Practice_USA</v>
      </c>
      <c r="N83" s="185" t="str">
        <f t="shared" si="8"/>
        <v>Solution Architect - FCC</v>
      </c>
      <c r="O83" t="str">
        <f t="shared" si="9"/>
        <v>Gary Hewstone</v>
      </c>
      <c r="P83" t="str" cm="1">
        <f t="array" ref="P83">INDEX(_xlfn.TEXTSPLIT(B83," "),3)</f>
        <v>USA</v>
      </c>
      <c r="S83" t="str">
        <v>ERP_Practice_USAApplication Lead</v>
      </c>
    </row>
    <row r="84" spans="1:19" x14ac:dyDescent="0.25">
      <c r="A84" s="33" t="s">
        <v>1131</v>
      </c>
      <c r="B84" s="33" t="s">
        <v>1304</v>
      </c>
      <c r="C84" s="33" t="s">
        <v>1236</v>
      </c>
      <c r="D84" s="33" t="s">
        <v>1305</v>
      </c>
      <c r="E84" s="33" t="s">
        <v>309</v>
      </c>
      <c r="F84" s="33" t="s">
        <v>1135</v>
      </c>
      <c r="H84" t="str">
        <f t="shared" si="10"/>
        <v>EPM Practice USA - Consolidation</v>
      </c>
      <c r="J84" t="str">
        <f t="shared" si="12"/>
        <v>EPM_Practice_USA_-_Consolidation</v>
      </c>
      <c r="K84" t="str">
        <f t="shared" si="7"/>
        <v>EPM_Practice_USA_-_ConsolidationSolution Architect - FCC</v>
      </c>
      <c r="M84" t="str">
        <f t="shared" si="11"/>
        <v>EPM_Practice_USA_-_Consolidation</v>
      </c>
      <c r="N84" s="185" t="str">
        <f t="shared" si="8"/>
        <v>Solution Architect - FCC</v>
      </c>
      <c r="O84" t="str">
        <f t="shared" si="9"/>
        <v>Anusha Anala</v>
      </c>
      <c r="P84" t="str" cm="1">
        <f t="array" ref="P84">INDEX(_xlfn.TEXTSPLIT(B84," "),3)</f>
        <v>USA</v>
      </c>
      <c r="S84" t="str">
        <v>ERP_Practice_USASr. Application Lead</v>
      </c>
    </row>
    <row r="85" spans="1:19" x14ac:dyDescent="0.25">
      <c r="A85" s="33" t="s">
        <v>1131</v>
      </c>
      <c r="B85" s="33" t="s">
        <v>1304</v>
      </c>
      <c r="C85" s="33" t="s">
        <v>1306</v>
      </c>
      <c r="D85" s="33" t="s">
        <v>1307</v>
      </c>
      <c r="E85" s="33" t="s">
        <v>313</v>
      </c>
      <c r="F85" s="33" t="s">
        <v>1135</v>
      </c>
      <c r="H85" t="str">
        <f t="shared" si="10"/>
        <v>EPM Practice USA - Consolidation</v>
      </c>
      <c r="J85" t="str">
        <f t="shared" si="12"/>
        <v>EPM_Practice_USA_-_Consolidation</v>
      </c>
      <c r="K85" t="str">
        <f t="shared" si="7"/>
        <v>EPM_Practice_USA_-_ConsolidationSolution Architect</v>
      </c>
      <c r="M85" t="str">
        <f t="shared" si="11"/>
        <v>EPM_Practice_USA_-_Consolidation</v>
      </c>
      <c r="N85" s="185" t="str">
        <f t="shared" si="8"/>
        <v>Solution Architect</v>
      </c>
      <c r="O85" t="str">
        <f t="shared" si="9"/>
        <v>William J Posey</v>
      </c>
      <c r="P85" t="str" cm="1">
        <f t="array" ref="P85">INDEX(_xlfn.TEXTSPLIT(B85," "),3)</f>
        <v>USA</v>
      </c>
      <c r="S85" t="str">
        <v>ERP_Practice_USAApplication Support Lead</v>
      </c>
    </row>
    <row r="86" spans="1:19" x14ac:dyDescent="0.25">
      <c r="A86" s="33" t="s">
        <v>1131</v>
      </c>
      <c r="B86" s="33" t="s">
        <v>1304</v>
      </c>
      <c r="C86" s="33" t="s">
        <v>1308</v>
      </c>
      <c r="D86" s="33" t="s">
        <v>1309</v>
      </c>
      <c r="E86" s="33" t="s">
        <v>301</v>
      </c>
      <c r="F86" s="33" t="s">
        <v>1135</v>
      </c>
      <c r="H86" t="str">
        <f t="shared" si="10"/>
        <v>EPM Practice USA - Consolidation</v>
      </c>
      <c r="J86" t="str">
        <f t="shared" si="12"/>
        <v>EPM_Practice_USA_-_Consolidation</v>
      </c>
      <c r="K86" t="str">
        <f t="shared" si="7"/>
        <v>EPM_Practice_USA_-_ConsolidationPrincipal Architect</v>
      </c>
      <c r="M86" t="str">
        <f t="shared" si="11"/>
        <v>EPM_Practice_USA_-_Consolidation</v>
      </c>
      <c r="N86" s="185" t="str">
        <f t="shared" si="8"/>
        <v>Principal Architect</v>
      </c>
      <c r="O86" t="str">
        <f t="shared" si="9"/>
        <v>Raminder Singh Sidhu</v>
      </c>
      <c r="P86" t="str" cm="1">
        <f t="array" ref="P86">INDEX(_xlfn.TEXTSPLIT(B86," "),3)</f>
        <v>USA</v>
      </c>
      <c r="S86" t="str">
        <v>ERP_Practice_USASr. Solution Architect</v>
      </c>
    </row>
    <row r="87" spans="1:19" x14ac:dyDescent="0.25">
      <c r="A87" s="33" t="s">
        <v>1131</v>
      </c>
      <c r="B87" s="33" t="s">
        <v>1304</v>
      </c>
      <c r="C87" s="33" t="s">
        <v>1310</v>
      </c>
      <c r="D87" s="33" t="s">
        <v>1311</v>
      </c>
      <c r="E87" s="33" t="s">
        <v>307</v>
      </c>
      <c r="F87" s="33" t="s">
        <v>1135</v>
      </c>
      <c r="H87" t="str">
        <f t="shared" si="10"/>
        <v>EPM Practice USA - Consolidation</v>
      </c>
      <c r="J87" t="str">
        <f t="shared" si="12"/>
        <v>EPM_Practice_USA_-_Consolidation</v>
      </c>
      <c r="K87" t="str">
        <f t="shared" si="7"/>
        <v>EPM_Practice_USA_-_ConsolidationApplication Lead</v>
      </c>
      <c r="M87" t="str">
        <f t="shared" si="11"/>
        <v>EPM_Practice_USA_-_Consolidation</v>
      </c>
      <c r="N87" s="185" t="str">
        <f t="shared" si="8"/>
        <v>Application Lead</v>
      </c>
      <c r="O87" t="str">
        <f t="shared" si="9"/>
        <v>Vikram Krishnamoorthy</v>
      </c>
      <c r="P87" t="str" cm="1">
        <f t="array" ref="P87">INDEX(_xlfn.TEXTSPLIT(B87," "),3)</f>
        <v>USA</v>
      </c>
      <c r="S87" t="str">
        <v>ERP_Practice_USAProject Manager</v>
      </c>
    </row>
    <row r="88" spans="1:19" x14ac:dyDescent="0.25">
      <c r="A88" s="33" t="s">
        <v>1131</v>
      </c>
      <c r="B88" s="33" t="s">
        <v>1312</v>
      </c>
      <c r="C88" s="33" t="s">
        <v>1313</v>
      </c>
      <c r="D88" s="33" t="s">
        <v>1314</v>
      </c>
      <c r="E88" s="33" t="s">
        <v>241</v>
      </c>
      <c r="F88" s="33" t="s">
        <v>1135</v>
      </c>
      <c r="H88" t="str">
        <f t="shared" si="10"/>
        <v>EPM Practice USA - Integration</v>
      </c>
      <c r="J88" t="str">
        <f t="shared" si="12"/>
        <v>EPM_Practice_USA_-_Integration</v>
      </c>
      <c r="K88" t="str">
        <f t="shared" si="7"/>
        <v>EPM_Practice_USA_-_IntegrationSr. Solution Architect</v>
      </c>
      <c r="M88" t="str">
        <f t="shared" si="11"/>
        <v>EPM_Practice_USA_-_Integration</v>
      </c>
      <c r="N88" s="185" t="str">
        <f t="shared" si="8"/>
        <v>Sr. Solution Architect</v>
      </c>
      <c r="O88" t="str">
        <f t="shared" si="9"/>
        <v>Vasantha K Raman</v>
      </c>
      <c r="P88" t="str" cm="1">
        <f t="array" ref="P88">INDEX(_xlfn.TEXTSPLIT(B88," "),3)</f>
        <v>USA</v>
      </c>
      <c r="S88" t="str">
        <v>ERP_Practice_USASr. Application Support Lead</v>
      </c>
    </row>
    <row r="89" spans="1:19" x14ac:dyDescent="0.25">
      <c r="A89" s="33" t="s">
        <v>1131</v>
      </c>
      <c r="B89" s="33" t="s">
        <v>1312</v>
      </c>
      <c r="C89" s="33" t="s">
        <v>1315</v>
      </c>
      <c r="D89" s="33" t="s">
        <v>1316</v>
      </c>
      <c r="E89" s="33" t="s">
        <v>246</v>
      </c>
      <c r="F89" s="33" t="s">
        <v>1135</v>
      </c>
      <c r="H89" t="str">
        <f t="shared" si="10"/>
        <v>EPM Practice USA - Integration</v>
      </c>
      <c r="J89" t="str">
        <f t="shared" si="12"/>
        <v>EPM_Practice_USA_-_Integration</v>
      </c>
      <c r="K89" t="str">
        <f t="shared" si="7"/>
        <v>EPM_Practice_USA_-_IntegrationSolution Architect - DI</v>
      </c>
      <c r="M89" t="str">
        <f t="shared" si="11"/>
        <v>EPM_Practice_USA_-_Integration</v>
      </c>
      <c r="N89" s="185" t="str">
        <f t="shared" si="8"/>
        <v>Solution Architect - DI</v>
      </c>
      <c r="O89" t="str">
        <f t="shared" si="9"/>
        <v>Robert J Gideon</v>
      </c>
      <c r="P89" t="str" cm="1">
        <f t="array" ref="P89">INDEX(_xlfn.TEXTSPLIT(B89," "),3)</f>
        <v>USA</v>
      </c>
      <c r="S89" t="str">
        <v>ERP_Practice_USASr. Application Developer</v>
      </c>
    </row>
    <row r="90" spans="1:19" x14ac:dyDescent="0.25">
      <c r="A90" s="33" t="s">
        <v>1131</v>
      </c>
      <c r="B90" s="33" t="s">
        <v>1312</v>
      </c>
      <c r="C90" s="33" t="s">
        <v>1317</v>
      </c>
      <c r="D90" s="33" t="s">
        <v>1318</v>
      </c>
      <c r="E90" s="33" t="s">
        <v>320</v>
      </c>
      <c r="F90" s="33" t="s">
        <v>1135</v>
      </c>
      <c r="H90" t="str">
        <f t="shared" si="10"/>
        <v>EPM Practice USA - Integration</v>
      </c>
      <c r="J90" t="str">
        <f t="shared" si="12"/>
        <v>EPM_Practice_USA_-_Integration</v>
      </c>
      <c r="K90" t="str">
        <f t="shared" si="7"/>
        <v>EPM_Practice_USA_-_IntegrationSr. Application Support Lead</v>
      </c>
      <c r="M90" t="str">
        <f t="shared" si="11"/>
        <v>EPM_Practice_USA_-_Integration</v>
      </c>
      <c r="N90" s="185" t="str">
        <f t="shared" si="8"/>
        <v>Sr. Application Support Lead</v>
      </c>
      <c r="O90" t="str">
        <f t="shared" si="9"/>
        <v>Rabinder Madan</v>
      </c>
      <c r="P90" t="str" cm="1">
        <f t="array" ref="P90">INDEX(_xlfn.TEXTSPLIT(B90," "),3)</f>
        <v>USA</v>
      </c>
      <c r="S90" t="str">
        <v>ERP_Practice_USASolution Architect</v>
      </c>
    </row>
    <row r="91" spans="1:19" x14ac:dyDescent="0.25">
      <c r="A91" s="33" t="s">
        <v>1131</v>
      </c>
      <c r="B91" s="33" t="s">
        <v>1312</v>
      </c>
      <c r="C91" s="33" t="s">
        <v>1319</v>
      </c>
      <c r="D91" s="33" t="s">
        <v>1320</v>
      </c>
      <c r="E91" s="33" t="s">
        <v>246</v>
      </c>
      <c r="F91" s="33" t="s">
        <v>1135</v>
      </c>
      <c r="H91" t="str">
        <f t="shared" si="10"/>
        <v>EPM Practice USA - Integration</v>
      </c>
      <c r="J91" t="str">
        <f t="shared" si="12"/>
        <v>EPM_Practice_USA_-_Integration</v>
      </c>
      <c r="K91" t="str">
        <f t="shared" si="7"/>
        <v>EPM_Practice_USA_-_IntegrationSolution Architect - DI</v>
      </c>
      <c r="M91" t="str">
        <f t="shared" si="11"/>
        <v>EPM_Practice_USA_-_Integration</v>
      </c>
      <c r="N91" s="185" t="str">
        <f t="shared" si="8"/>
        <v>Solution Architect - DI</v>
      </c>
      <c r="O91" t="str">
        <f t="shared" si="9"/>
        <v>Matthew Janecek</v>
      </c>
      <c r="P91" t="str" cm="1">
        <f t="array" ref="P91">INDEX(_xlfn.TEXTSPLIT(B91," "),3)</f>
        <v>USA</v>
      </c>
      <c r="S91" t="str">
        <v>ERP_Practice_USAApplication Developer</v>
      </c>
    </row>
    <row r="92" spans="1:19" x14ac:dyDescent="0.25">
      <c r="A92" s="33" t="s">
        <v>1131</v>
      </c>
      <c r="B92" s="33" t="s">
        <v>1312</v>
      </c>
      <c r="C92" s="33" t="s">
        <v>1321</v>
      </c>
      <c r="D92" s="33" t="s">
        <v>1322</v>
      </c>
      <c r="E92" s="33" t="s">
        <v>307</v>
      </c>
      <c r="F92" s="33" t="s">
        <v>1135</v>
      </c>
      <c r="H92" t="str">
        <f t="shared" si="10"/>
        <v>EPM Practice USA - Integration</v>
      </c>
      <c r="J92" t="str">
        <f t="shared" si="12"/>
        <v>EPM_Practice_USA_-_Integration</v>
      </c>
      <c r="K92" t="str">
        <f t="shared" ref="K92:K155" si="13">_xlfn.CONCAT(J92,E92)</f>
        <v>EPM_Practice_USA_-_IntegrationApplication Lead</v>
      </c>
      <c r="M92" t="str">
        <f t="shared" si="11"/>
        <v>EPM_Practice_USA_-_Integration</v>
      </c>
      <c r="N92" s="185" t="str">
        <f t="shared" ref="N92:N155" si="14">E92</f>
        <v>Application Lead</v>
      </c>
      <c r="O92" t="str">
        <f t="shared" ref="O92:O155" si="15">_xlfn.CONCAT(C92," ",D92)</f>
        <v>Harisingh Janakiram</v>
      </c>
      <c r="P92" t="str" cm="1">
        <f t="array" ref="P92">INDEX(_xlfn.TEXTSPLIT(B92," "),3)</f>
        <v>USA</v>
      </c>
      <c r="S92" t="str">
        <v>EPM_Practice_IndiaProject Manager</v>
      </c>
    </row>
    <row r="93" spans="1:19" x14ac:dyDescent="0.25">
      <c r="A93" s="33" t="s">
        <v>1131</v>
      </c>
      <c r="B93" s="33" t="s">
        <v>1312</v>
      </c>
      <c r="C93" s="33" t="s">
        <v>1323</v>
      </c>
      <c r="D93" s="33" t="s">
        <v>1324</v>
      </c>
      <c r="E93" s="33" t="s">
        <v>241</v>
      </c>
      <c r="F93" s="33" t="s">
        <v>1135</v>
      </c>
      <c r="H93" t="str">
        <f t="shared" si="10"/>
        <v>EPM Practice USA - Integration</v>
      </c>
      <c r="J93" t="str">
        <f t="shared" si="12"/>
        <v>EPM_Practice_USA_-_Integration</v>
      </c>
      <c r="K93" t="str">
        <f t="shared" si="13"/>
        <v>EPM_Practice_USA_-_IntegrationSr. Solution Architect</v>
      </c>
      <c r="M93" t="str">
        <f t="shared" si="11"/>
        <v>EPM_Practice_USA_-_Integration</v>
      </c>
      <c r="N93" s="185" t="str">
        <f t="shared" si="14"/>
        <v>Sr. Solution Architect</v>
      </c>
      <c r="O93" t="str">
        <f t="shared" si="15"/>
        <v>Glen Allen</v>
      </c>
      <c r="P93" t="str" cm="1">
        <f t="array" ref="P93">INDEX(_xlfn.TEXTSPLIT(B93," "),3)</f>
        <v>USA</v>
      </c>
      <c r="S93" t="str">
        <v>EPM_Practice_IndiaSr. Project Manager</v>
      </c>
    </row>
    <row r="94" spans="1:19" x14ac:dyDescent="0.25">
      <c r="A94" s="33" t="s">
        <v>1131</v>
      </c>
      <c r="B94" s="33" t="s">
        <v>1325</v>
      </c>
      <c r="C94" s="33" t="s">
        <v>1136</v>
      </c>
      <c r="D94" s="33" t="s">
        <v>1326</v>
      </c>
      <c r="E94" s="33" t="s">
        <v>320</v>
      </c>
      <c r="F94" s="33" t="s">
        <v>1135</v>
      </c>
      <c r="H94" t="str">
        <f t="shared" si="10"/>
        <v>EPM Practice USA - Managed Services</v>
      </c>
      <c r="J94" t="str">
        <f t="shared" si="12"/>
        <v>EPM_Practice_USA_-_Managed_Services</v>
      </c>
      <c r="K94" t="str">
        <f t="shared" si="13"/>
        <v>EPM_Practice_USA_-_Managed_ServicesSr. Application Support Lead</v>
      </c>
      <c r="M94" t="str">
        <f t="shared" si="11"/>
        <v>EPM_Practice_USA_-_Managed_Services</v>
      </c>
      <c r="N94" s="185" t="str">
        <f t="shared" si="14"/>
        <v>Sr. Application Support Lead</v>
      </c>
      <c r="O94" t="str">
        <f t="shared" si="15"/>
        <v>Michael Schwarz</v>
      </c>
      <c r="P94" t="str" cm="1">
        <f t="array" ref="P94">INDEX(_xlfn.TEXTSPLIT(B94," "),3)</f>
        <v>USA</v>
      </c>
      <c r="S94" t="str">
        <v>EPM_Practice_USAProject Coordinator</v>
      </c>
    </row>
    <row r="95" spans="1:19" x14ac:dyDescent="0.25">
      <c r="A95" s="33" t="s">
        <v>1131</v>
      </c>
      <c r="B95" s="33" t="s">
        <v>1325</v>
      </c>
      <c r="C95" s="33" t="s">
        <v>1327</v>
      </c>
      <c r="D95" s="33" t="s">
        <v>1328</v>
      </c>
      <c r="E95" s="33" t="s">
        <v>272</v>
      </c>
      <c r="F95" s="33" t="s">
        <v>1135</v>
      </c>
      <c r="H95" t="str">
        <f t="shared" si="10"/>
        <v>EPM Practice USA - Managed Services</v>
      </c>
      <c r="J95" t="str">
        <f t="shared" si="12"/>
        <v>EPM_Practice_USA_-_Managed_Services</v>
      </c>
      <c r="K95" t="str">
        <f t="shared" si="13"/>
        <v>EPM_Practice_USA_-_Managed_ServicesSr. Application Developer</v>
      </c>
      <c r="M95" t="str">
        <f t="shared" si="11"/>
        <v>EPM_Practice_USA_-_Managed_Services</v>
      </c>
      <c r="N95" s="185" t="str">
        <f t="shared" si="14"/>
        <v>Sr. Application Developer</v>
      </c>
      <c r="O95" t="str">
        <f t="shared" si="15"/>
        <v>Dean DeRenzo</v>
      </c>
      <c r="P95" t="str" cm="1">
        <f t="array" ref="P95">INDEX(_xlfn.TEXTSPLIT(B95," "),3)</f>
        <v>USA</v>
      </c>
      <c r="S95" t="str">
        <v>EPM_Practice_USAProject Manager</v>
      </c>
    </row>
    <row r="96" spans="1:19" x14ac:dyDescent="0.25">
      <c r="A96" s="33" t="s">
        <v>1131</v>
      </c>
      <c r="B96" s="33" t="s">
        <v>1325</v>
      </c>
      <c r="C96" s="33" t="s">
        <v>1329</v>
      </c>
      <c r="D96" s="33" t="s">
        <v>1330</v>
      </c>
      <c r="E96" s="33" t="s">
        <v>328</v>
      </c>
      <c r="F96" s="33" t="s">
        <v>1135</v>
      </c>
      <c r="H96" t="str">
        <f t="shared" si="10"/>
        <v>EPM Practice USA - Managed Services</v>
      </c>
      <c r="J96" t="str">
        <f t="shared" si="12"/>
        <v>EPM_Practice_USA_-_Managed_Services</v>
      </c>
      <c r="K96" t="str">
        <f t="shared" si="13"/>
        <v>EPM_Practice_USA_-_Managed_ServicesApplication Support Lead - FCC</v>
      </c>
      <c r="M96" t="str">
        <f t="shared" si="11"/>
        <v>EPM_Practice_USA_-_Managed_Services</v>
      </c>
      <c r="N96" s="185" t="str">
        <f t="shared" si="14"/>
        <v>Application Support Lead - FCC</v>
      </c>
      <c r="O96" t="str">
        <f t="shared" si="15"/>
        <v>Saikiran Kodari</v>
      </c>
      <c r="P96" t="str" cm="1">
        <f t="array" ref="P96">INDEX(_xlfn.TEXTSPLIT(B96," "),3)</f>
        <v>USA</v>
      </c>
      <c r="S96" t="str">
        <v>EPM_Practice_USASr. Project Manager</v>
      </c>
    </row>
    <row r="97" spans="1:19" x14ac:dyDescent="0.25">
      <c r="A97" s="33" t="s">
        <v>1131</v>
      </c>
      <c r="B97" s="33" t="s">
        <v>1325</v>
      </c>
      <c r="C97" s="33" t="s">
        <v>1331</v>
      </c>
      <c r="D97" s="33" t="s">
        <v>1332</v>
      </c>
      <c r="E97" s="33" t="s">
        <v>270</v>
      </c>
      <c r="F97" s="33" t="s">
        <v>1135</v>
      </c>
      <c r="H97" t="str">
        <f t="shared" si="10"/>
        <v>EPM Practice USA - Managed Services</v>
      </c>
      <c r="J97" t="str">
        <f t="shared" si="12"/>
        <v>EPM_Practice_USA_-_Managed_Services</v>
      </c>
      <c r="K97" t="str">
        <f t="shared" si="13"/>
        <v>EPM_Practice_USA_-_Managed_ServicesSr. Application Lead - PLN</v>
      </c>
      <c r="M97" t="str">
        <f t="shared" si="11"/>
        <v>EPM_Practice_USA_-_Managed_Services</v>
      </c>
      <c r="N97" s="185" t="str">
        <f t="shared" si="14"/>
        <v>Sr. Application Lead - PLN</v>
      </c>
      <c r="O97" t="str">
        <f t="shared" si="15"/>
        <v>Rupali Khedekar</v>
      </c>
      <c r="P97" t="str" cm="1">
        <f t="array" ref="P97">INDEX(_xlfn.TEXTSPLIT(B97," "),3)</f>
        <v>USA</v>
      </c>
      <c r="S97" t="str">
        <v>EPM_Practice_USASr. Change Manager</v>
      </c>
    </row>
    <row r="98" spans="1:19" ht="30" x14ac:dyDescent="0.25">
      <c r="A98" s="33" t="s">
        <v>1131</v>
      </c>
      <c r="B98" s="33" t="s">
        <v>1325</v>
      </c>
      <c r="C98" s="33" t="s">
        <v>1333</v>
      </c>
      <c r="D98" s="33" t="s">
        <v>1334</v>
      </c>
      <c r="E98" s="33" t="s">
        <v>331</v>
      </c>
      <c r="F98" s="33" t="s">
        <v>1135</v>
      </c>
      <c r="H98" t="str">
        <f t="shared" si="10"/>
        <v>EPM Practice USA - Managed Services</v>
      </c>
      <c r="J98" t="str">
        <f t="shared" si="12"/>
        <v>EPM_Practice_USA_-_Managed_Services</v>
      </c>
      <c r="K98" t="str">
        <f t="shared" si="13"/>
        <v>EPM_Practice_USA_-_Managed_ServicesSr. Application Support Lead - FCC</v>
      </c>
      <c r="M98" t="str">
        <f t="shared" si="11"/>
        <v>EPM_Practice_USA_-_Managed_Services</v>
      </c>
      <c r="N98" s="185" t="str">
        <f t="shared" si="14"/>
        <v>Sr. Application Support Lead - FCC</v>
      </c>
      <c r="O98" t="str">
        <f t="shared" si="15"/>
        <v>Randal Heideman</v>
      </c>
      <c r="P98" t="str" cm="1">
        <f t="array" ref="P98">INDEX(_xlfn.TEXTSPLIT(B98," "),3)</f>
        <v>USA</v>
      </c>
      <c r="S98" t="str">
        <v>EPM_Practice_USAPrincipal</v>
      </c>
    </row>
    <row r="99" spans="1:19" x14ac:dyDescent="0.25">
      <c r="A99" s="33" t="s">
        <v>1131</v>
      </c>
      <c r="B99" s="33" t="s">
        <v>1325</v>
      </c>
      <c r="C99" s="33" t="s">
        <v>1335</v>
      </c>
      <c r="D99" s="33" t="s">
        <v>1336</v>
      </c>
      <c r="E99" s="33" t="s">
        <v>221</v>
      </c>
      <c r="F99" s="33" t="s">
        <v>1135</v>
      </c>
      <c r="H99" t="str">
        <f t="shared" si="10"/>
        <v>EPM Practice USA - Managed Services</v>
      </c>
      <c r="J99" t="str">
        <f t="shared" si="12"/>
        <v>EPM_Practice_USA_-_Managed_Services</v>
      </c>
      <c r="K99" t="str">
        <f t="shared" si="13"/>
        <v>EPM_Practice_USA_-_Managed_ServicesSr. Application Lead - FCC</v>
      </c>
      <c r="M99" t="str">
        <f t="shared" si="11"/>
        <v>EPM_Practice_USA_-_Managed_Services</v>
      </c>
      <c r="N99" s="185" t="str">
        <f t="shared" si="14"/>
        <v>Sr. Application Lead - FCC</v>
      </c>
      <c r="O99" t="str">
        <f t="shared" si="15"/>
        <v>Kevin M Fiddes</v>
      </c>
      <c r="P99" t="str" cm="1">
        <f t="array" ref="P99">INDEX(_xlfn.TEXTSPLIT(B99," "),3)</f>
        <v>USA</v>
      </c>
      <c r="S99" t="str">
        <v>PS_Practice_USAProject Manager</v>
      </c>
    </row>
    <row r="100" spans="1:19" x14ac:dyDescent="0.25">
      <c r="A100" s="33" t="s">
        <v>1131</v>
      </c>
      <c r="B100" s="33" t="s">
        <v>1337</v>
      </c>
      <c r="C100" s="33" t="s">
        <v>1338</v>
      </c>
      <c r="D100" s="33" t="s">
        <v>1339</v>
      </c>
      <c r="E100" s="33" t="s">
        <v>274</v>
      </c>
      <c r="F100" s="33" t="s">
        <v>1135</v>
      </c>
      <c r="H100" t="str">
        <f t="shared" si="10"/>
        <v>EPM Practice USA - Planning</v>
      </c>
      <c r="J100" t="str">
        <f t="shared" si="12"/>
        <v>EPM_Practice_USA_-_Planning</v>
      </c>
      <c r="K100" t="str">
        <f t="shared" si="13"/>
        <v>EPM_Practice_USA_-_PlanningSolution Architect - PLN</v>
      </c>
      <c r="M100" t="str">
        <f t="shared" si="11"/>
        <v>EPM_Practice_USA_-_Planning</v>
      </c>
      <c r="N100" s="185" t="str">
        <f t="shared" si="14"/>
        <v>Solution Architect - PLN</v>
      </c>
      <c r="O100" t="str">
        <f t="shared" si="15"/>
        <v>Dyana Karcher</v>
      </c>
      <c r="P100" t="str" cm="1">
        <f t="array" ref="P100">INDEX(_xlfn.TEXTSPLIT(B100," "),3)</f>
        <v>USA</v>
      </c>
      <c r="S100" t="str">
        <v>PS_Practice_USAProject Coordinator</v>
      </c>
    </row>
    <row r="101" spans="1:19" x14ac:dyDescent="0.25">
      <c r="A101" s="33" t="s">
        <v>1131</v>
      </c>
      <c r="B101" s="33" t="s">
        <v>1337</v>
      </c>
      <c r="C101" s="33" t="s">
        <v>1340</v>
      </c>
      <c r="D101" s="33" t="s">
        <v>1341</v>
      </c>
      <c r="E101" s="33" t="s">
        <v>301</v>
      </c>
      <c r="F101" s="33" t="s">
        <v>1135</v>
      </c>
      <c r="H101" t="str">
        <f t="shared" si="10"/>
        <v>EPM Practice USA - Planning</v>
      </c>
      <c r="J101" t="str">
        <f t="shared" si="12"/>
        <v>EPM_Practice_USA_-_Planning</v>
      </c>
      <c r="K101" t="str">
        <f t="shared" si="13"/>
        <v>EPM_Practice_USA_-_PlanningPrincipal Architect</v>
      </c>
      <c r="M101" t="str">
        <f t="shared" si="11"/>
        <v>EPM_Practice_USA_-_Planning</v>
      </c>
      <c r="N101" s="185" t="str">
        <f t="shared" si="14"/>
        <v>Principal Architect</v>
      </c>
      <c r="O101" t="str">
        <f t="shared" si="15"/>
        <v>Paul J Lewis</v>
      </c>
      <c r="P101" t="str" cm="1">
        <f t="array" ref="P101">INDEX(_xlfn.TEXTSPLIT(B101," "),3)</f>
        <v>USA</v>
      </c>
      <c r="S101" t="str">
        <v>PS_Practice_USAProgram Manager</v>
      </c>
    </row>
    <row r="102" spans="1:19" x14ac:dyDescent="0.25">
      <c r="A102" s="33" t="s">
        <v>1131</v>
      </c>
      <c r="B102" s="33" t="s">
        <v>1337</v>
      </c>
      <c r="C102" s="33" t="s">
        <v>1342</v>
      </c>
      <c r="D102" s="33" t="s">
        <v>1343</v>
      </c>
      <c r="E102" s="33" t="s">
        <v>301</v>
      </c>
      <c r="F102" s="33" t="s">
        <v>1135</v>
      </c>
      <c r="H102" t="str">
        <f t="shared" si="10"/>
        <v>EPM Practice USA - Planning</v>
      </c>
      <c r="J102" t="str">
        <f t="shared" si="12"/>
        <v>EPM_Practice_USA_-_Planning</v>
      </c>
      <c r="K102" t="str">
        <f t="shared" si="13"/>
        <v>EPM_Practice_USA_-_PlanningPrincipal Architect</v>
      </c>
      <c r="M102" t="str">
        <f t="shared" si="11"/>
        <v>EPM_Practice_USA_-_Planning</v>
      </c>
      <c r="N102" s="185" t="str">
        <f t="shared" si="14"/>
        <v>Principal Architect</v>
      </c>
      <c r="O102" t="str">
        <f t="shared" si="15"/>
        <v>Angela Wilcox</v>
      </c>
      <c r="P102" t="str" cm="1">
        <f t="array" ref="P102">INDEX(_xlfn.TEXTSPLIT(B102," "),3)</f>
        <v>USA</v>
      </c>
      <c r="S102" t="str">
        <v>PS_Practice_USASr. Program Manager</v>
      </c>
    </row>
    <row r="103" spans="1:19" x14ac:dyDescent="0.25">
      <c r="A103" s="33" t="s">
        <v>1131</v>
      </c>
      <c r="B103" s="33" t="s">
        <v>1337</v>
      </c>
      <c r="C103" s="33" t="s">
        <v>1344</v>
      </c>
      <c r="D103" s="33" t="s">
        <v>1345</v>
      </c>
      <c r="E103" s="33" t="s">
        <v>337</v>
      </c>
      <c r="F103" s="33" t="s">
        <v>1135</v>
      </c>
      <c r="H103" t="str">
        <f t="shared" si="10"/>
        <v>EPM Practice USA - Planning</v>
      </c>
      <c r="J103" t="str">
        <f t="shared" si="12"/>
        <v>EPM_Practice_USA_-_Planning</v>
      </c>
      <c r="K103" t="str">
        <f t="shared" si="13"/>
        <v>EPM_Practice_USA_-_PlanningApplication Support Lead - EPB</v>
      </c>
      <c r="M103" t="str">
        <f t="shared" si="11"/>
        <v>EPM_Practice_USA_-_Planning</v>
      </c>
      <c r="N103" s="185" t="str">
        <f t="shared" si="14"/>
        <v>Application Support Lead - EPB</v>
      </c>
      <c r="O103" t="str">
        <f t="shared" si="15"/>
        <v>Manohar Vanamadi</v>
      </c>
      <c r="P103" t="str" cm="1">
        <f t="array" ref="P103">INDEX(_xlfn.TEXTSPLIT(B103," "),3)</f>
        <v>USA</v>
      </c>
      <c r="S103" t="str">
        <v>PS_Practice_USASr. Solution Architect</v>
      </c>
    </row>
    <row r="104" spans="1:19" x14ac:dyDescent="0.25">
      <c r="A104" s="33" t="s">
        <v>1131</v>
      </c>
      <c r="B104" s="33" t="s">
        <v>1337</v>
      </c>
      <c r="C104" s="33" t="s">
        <v>1346</v>
      </c>
      <c r="D104" s="33" t="s">
        <v>1347</v>
      </c>
      <c r="E104" s="33" t="s">
        <v>272</v>
      </c>
      <c r="F104" s="33" t="s">
        <v>1135</v>
      </c>
      <c r="H104" t="str">
        <f t="shared" si="10"/>
        <v>EPM Practice USA - Planning</v>
      </c>
      <c r="J104" t="str">
        <f t="shared" si="12"/>
        <v>EPM_Practice_USA_-_Planning</v>
      </c>
      <c r="K104" t="str">
        <f t="shared" si="13"/>
        <v>EPM_Practice_USA_-_PlanningSr. Application Developer</v>
      </c>
      <c r="M104" t="str">
        <f t="shared" si="11"/>
        <v>EPM_Practice_USA_-_Planning</v>
      </c>
      <c r="N104" s="185" t="str">
        <f t="shared" si="14"/>
        <v>Sr. Application Developer</v>
      </c>
      <c r="O104" t="str">
        <f t="shared" si="15"/>
        <v>Ajith Metharayil John</v>
      </c>
      <c r="P104" t="str" cm="1">
        <f t="array" ref="P104">INDEX(_xlfn.TEXTSPLIT(B104," "),3)</f>
        <v>USA</v>
      </c>
      <c r="S104" t="str">
        <v>PS_Practice_USASr. Project Manager</v>
      </c>
    </row>
    <row r="105" spans="1:19" x14ac:dyDescent="0.25">
      <c r="A105" s="33" t="s">
        <v>1131</v>
      </c>
      <c r="B105" s="33" t="s">
        <v>1337</v>
      </c>
      <c r="C105" s="33" t="s">
        <v>1347</v>
      </c>
      <c r="D105" s="33" t="s">
        <v>1348</v>
      </c>
      <c r="E105" s="33" t="s">
        <v>254</v>
      </c>
      <c r="F105" s="33" t="s">
        <v>1135</v>
      </c>
      <c r="H105" t="str">
        <f t="shared" si="10"/>
        <v>EPM Practice USA - Planning</v>
      </c>
      <c r="J105" t="str">
        <f t="shared" si="12"/>
        <v>EPM_Practice_USA_-_Planning</v>
      </c>
      <c r="K105" t="str">
        <f t="shared" si="13"/>
        <v>EPM_Practice_USA_-_PlanningIntegration Lead</v>
      </c>
      <c r="M105" t="str">
        <f t="shared" si="11"/>
        <v>EPM_Practice_USA_-_Planning</v>
      </c>
      <c r="N105" s="185" t="str">
        <f t="shared" si="14"/>
        <v>Integration Lead</v>
      </c>
      <c r="O105" t="str">
        <f t="shared" si="15"/>
        <v>John Pak</v>
      </c>
      <c r="P105" t="str" cm="1">
        <f t="array" ref="P105">INDEX(_xlfn.TEXTSPLIT(B105," "),3)</f>
        <v>USA</v>
      </c>
      <c r="S105" t="str">
        <v>TS_Practice_IndiaBusiness/Data Analyst</v>
      </c>
    </row>
    <row r="106" spans="1:19" x14ac:dyDescent="0.25">
      <c r="A106" s="33" t="s">
        <v>1131</v>
      </c>
      <c r="B106" s="33" t="s">
        <v>1337</v>
      </c>
      <c r="C106" s="33" t="s">
        <v>1349</v>
      </c>
      <c r="D106" s="33" t="s">
        <v>1350</v>
      </c>
      <c r="E106" s="33" t="s">
        <v>280</v>
      </c>
      <c r="F106" s="33" t="s">
        <v>1135</v>
      </c>
      <c r="H106" t="str">
        <f t="shared" si="10"/>
        <v>EPM Practice USA - Planning</v>
      </c>
      <c r="J106" t="str">
        <f t="shared" si="12"/>
        <v>EPM_Practice_USA_-_Planning</v>
      </c>
      <c r="K106" t="str">
        <f t="shared" si="13"/>
        <v>EPM_Practice_USA_-_PlanningSr. Application Developer - PLN</v>
      </c>
      <c r="M106" t="str">
        <f t="shared" si="11"/>
        <v>EPM_Practice_USA_-_Planning</v>
      </c>
      <c r="N106" s="185" t="str">
        <f t="shared" si="14"/>
        <v>Sr. Application Developer - PLN</v>
      </c>
      <c r="O106" t="str">
        <f t="shared" si="15"/>
        <v>Kamalakannan Sriramulu</v>
      </c>
      <c r="P106" t="str" cm="1">
        <f t="array" ref="P106">INDEX(_xlfn.TEXTSPLIT(B106," "),3)</f>
        <v>USA</v>
      </c>
      <c r="S106" t="str">
        <v>TS_Practice_IndiaDevOps Engineer</v>
      </c>
    </row>
    <row r="107" spans="1:19" x14ac:dyDescent="0.25">
      <c r="A107" s="33" t="s">
        <v>1131</v>
      </c>
      <c r="B107" s="33" t="s">
        <v>1337</v>
      </c>
      <c r="C107" s="33" t="s">
        <v>1351</v>
      </c>
      <c r="D107" s="33" t="s">
        <v>1352</v>
      </c>
      <c r="E107" s="33" t="s">
        <v>291</v>
      </c>
      <c r="F107" s="33" t="s">
        <v>1135</v>
      </c>
      <c r="H107" t="str">
        <f t="shared" si="10"/>
        <v>EPM Practice USA - Planning</v>
      </c>
      <c r="J107" t="str">
        <f t="shared" si="12"/>
        <v>EPM_Practice_USA_-_Planning</v>
      </c>
      <c r="K107" t="str">
        <f t="shared" si="13"/>
        <v>EPM_Practice_USA_-_PlanningApplication Lead - PLN</v>
      </c>
      <c r="M107" t="str">
        <f t="shared" si="11"/>
        <v>EPM_Practice_USA_-_Planning</v>
      </c>
      <c r="N107" s="185" t="str">
        <f t="shared" si="14"/>
        <v>Application Lead - PLN</v>
      </c>
      <c r="O107" t="str">
        <f t="shared" si="15"/>
        <v>Raziuddin Mohammed</v>
      </c>
      <c r="P107" t="str" cm="1">
        <f t="array" ref="P107">INDEX(_xlfn.TEXTSPLIT(B107," "),3)</f>
        <v>USA</v>
      </c>
      <c r="S107" t="str">
        <v>TS_Practice_IndiaDeveloper</v>
      </c>
    </row>
    <row r="108" spans="1:19" x14ac:dyDescent="0.25">
      <c r="A108" s="33" t="s">
        <v>1131</v>
      </c>
      <c r="B108" s="33" t="s">
        <v>1337</v>
      </c>
      <c r="C108" s="33" t="s">
        <v>1353</v>
      </c>
      <c r="D108" s="33" t="s">
        <v>1354</v>
      </c>
      <c r="E108" s="33" t="s">
        <v>98</v>
      </c>
      <c r="F108" s="33" t="s">
        <v>1135</v>
      </c>
      <c r="H108" t="str">
        <f t="shared" si="10"/>
        <v>EPM Practice USA - Planning</v>
      </c>
      <c r="J108" t="str">
        <f t="shared" si="12"/>
        <v>EPM_Practice_USA_-_Planning</v>
      </c>
      <c r="K108" t="str">
        <f t="shared" si="13"/>
        <v>EPM_Practice_USA_-_PlanningApplication Developer - PLN</v>
      </c>
      <c r="M108" t="str">
        <f t="shared" si="11"/>
        <v>EPM_Practice_USA_-_Planning</v>
      </c>
      <c r="N108" s="185" t="str">
        <f t="shared" si="14"/>
        <v>Application Developer - PLN</v>
      </c>
      <c r="O108" t="str">
        <f t="shared" si="15"/>
        <v>Mahesh Balla</v>
      </c>
      <c r="P108" t="str" cm="1">
        <f t="array" ref="P108">INDEX(_xlfn.TEXTSPLIT(B108," "),3)</f>
        <v>USA</v>
      </c>
      <c r="S108" t="str">
        <v>TS_Practice_IndiaSr. Software Engineer</v>
      </c>
    </row>
    <row r="109" spans="1:19" x14ac:dyDescent="0.25">
      <c r="A109" s="33" t="s">
        <v>1131</v>
      </c>
      <c r="B109" s="33" t="s">
        <v>1337</v>
      </c>
      <c r="C109" s="33" t="s">
        <v>1355</v>
      </c>
      <c r="D109" s="33" t="s">
        <v>1356</v>
      </c>
      <c r="E109" s="33" t="s">
        <v>313</v>
      </c>
      <c r="F109" s="33" t="s">
        <v>1135</v>
      </c>
      <c r="H109" t="str">
        <f t="shared" si="10"/>
        <v>EPM Practice USA - Planning</v>
      </c>
      <c r="J109" t="str">
        <f t="shared" si="12"/>
        <v>EPM_Practice_USA_-_Planning</v>
      </c>
      <c r="K109" t="str">
        <f t="shared" si="13"/>
        <v>EPM_Practice_USA_-_PlanningSolution Architect</v>
      </c>
      <c r="M109" t="str">
        <f t="shared" si="11"/>
        <v>EPM_Practice_USA_-_Planning</v>
      </c>
      <c r="N109" s="185" t="str">
        <f t="shared" si="14"/>
        <v>Solution Architect</v>
      </c>
      <c r="O109" t="str">
        <f t="shared" si="15"/>
        <v>Dennis Hogan</v>
      </c>
      <c r="P109" t="str" cm="1">
        <f t="array" ref="P109">INDEX(_xlfn.TEXTSPLIT(B109," "),3)</f>
        <v>USA</v>
      </c>
      <c r="S109" t="str">
        <v>TS_Practice_IndiaSolution Architect</v>
      </c>
    </row>
    <row r="110" spans="1:19" x14ac:dyDescent="0.25">
      <c r="A110" s="33" t="s">
        <v>1131</v>
      </c>
      <c r="B110" s="33" t="s">
        <v>1337</v>
      </c>
      <c r="C110" s="33" t="s">
        <v>1357</v>
      </c>
      <c r="D110" s="33" t="s">
        <v>1358</v>
      </c>
      <c r="E110" s="33" t="s">
        <v>216</v>
      </c>
      <c r="F110" s="33" t="s">
        <v>1135</v>
      </c>
      <c r="H110" t="str">
        <f t="shared" si="10"/>
        <v>EPM Practice USA - Planning</v>
      </c>
      <c r="J110" t="str">
        <f t="shared" si="12"/>
        <v>EPM_Practice_USA_-_Planning</v>
      </c>
      <c r="K110" t="str">
        <f t="shared" si="13"/>
        <v>EPM_Practice_USA_-_PlanningApplication Developer</v>
      </c>
      <c r="M110" t="str">
        <f t="shared" si="11"/>
        <v>EPM_Practice_USA_-_Planning</v>
      </c>
      <c r="N110" s="185" t="str">
        <f t="shared" si="14"/>
        <v>Application Developer</v>
      </c>
      <c r="O110" t="str">
        <f t="shared" si="15"/>
        <v>Aleaha Peterson</v>
      </c>
      <c r="P110" t="str" cm="1">
        <f t="array" ref="P110">INDEX(_xlfn.TEXTSPLIT(B110," "),3)</f>
        <v>USA</v>
      </c>
      <c r="S110" t="str">
        <v>TS_Practice_IndiaSoftware Engineer</v>
      </c>
    </row>
    <row r="111" spans="1:19" x14ac:dyDescent="0.25">
      <c r="A111" s="33" t="s">
        <v>1153</v>
      </c>
      <c r="B111" s="33" t="s">
        <v>1337</v>
      </c>
      <c r="C111" s="33" t="s">
        <v>1359</v>
      </c>
      <c r="D111" s="33" t="s">
        <v>1360</v>
      </c>
      <c r="E111" s="33" t="s">
        <v>219</v>
      </c>
      <c r="F111" s="33" t="s">
        <v>1152</v>
      </c>
      <c r="H111" t="str">
        <f t="shared" si="10"/>
        <v>EPM Practice USA - Planning</v>
      </c>
      <c r="J111" t="str">
        <f t="shared" si="12"/>
        <v>EPM_Practice_USA_-_Planning</v>
      </c>
      <c r="K111" t="str">
        <f t="shared" si="13"/>
        <v>EPM_Practice_USA_-_PlanningSr. Application Lead</v>
      </c>
      <c r="M111" t="str">
        <f t="shared" si="11"/>
        <v>EPM_Practice_USA_-_Planning</v>
      </c>
      <c r="N111" s="185" t="str">
        <f t="shared" si="14"/>
        <v>Sr. Application Lead</v>
      </c>
      <c r="O111" t="str">
        <f t="shared" si="15"/>
        <v>Alfred Wu</v>
      </c>
      <c r="P111" t="str" cm="1">
        <f t="array" ref="P111">INDEX(_xlfn.TEXTSPLIT(B111," "),3)</f>
        <v>USA</v>
      </c>
      <c r="S111" t="str">
        <v>TS_Practice_IndiaQA Tester - Automation</v>
      </c>
    </row>
    <row r="112" spans="1:19" ht="30" x14ac:dyDescent="0.25">
      <c r="A112" s="33" t="s">
        <v>1153</v>
      </c>
      <c r="B112" s="33" t="s">
        <v>1361</v>
      </c>
      <c r="C112" s="33" t="s">
        <v>1362</v>
      </c>
      <c r="D112" s="33" t="s">
        <v>1363</v>
      </c>
      <c r="E112" s="33" t="s">
        <v>216</v>
      </c>
      <c r="F112" s="33" t="s">
        <v>1364</v>
      </c>
      <c r="H112" t="str">
        <f t="shared" si="10"/>
        <v>ERP Practice Argentina</v>
      </c>
      <c r="J112" t="str">
        <f t="shared" si="12"/>
        <v>ERP_Practice_Argentina</v>
      </c>
      <c r="K112" t="str">
        <f t="shared" si="13"/>
        <v>ERP_Practice_ArgentinaApplication Developer</v>
      </c>
      <c r="M112" t="str">
        <f t="shared" si="11"/>
        <v>ERP_Practice_Argentina</v>
      </c>
      <c r="N112" s="185" t="str">
        <f t="shared" si="14"/>
        <v>Application Developer</v>
      </c>
      <c r="O112" t="str">
        <f t="shared" si="15"/>
        <v>Santiago Ezequiel Massetta</v>
      </c>
      <c r="P112" t="str" cm="1">
        <f t="array" ref="P112">INDEX(_xlfn.TEXTSPLIT(B112," "),3)</f>
        <v>Argentina</v>
      </c>
      <c r="S112" t="str">
        <v>TS_Practice_IndiaSupport Engineer</v>
      </c>
    </row>
    <row r="113" spans="1:19" ht="30" x14ac:dyDescent="0.25">
      <c r="A113" s="33" t="s">
        <v>1153</v>
      </c>
      <c r="B113" s="33" t="s">
        <v>1361</v>
      </c>
      <c r="C113" s="33" t="s">
        <v>1365</v>
      </c>
      <c r="D113" s="33" t="s">
        <v>1366</v>
      </c>
      <c r="E113" s="33" t="s">
        <v>219</v>
      </c>
      <c r="F113" s="33" t="s">
        <v>1364</v>
      </c>
      <c r="H113" t="str">
        <f t="shared" si="10"/>
        <v>ERP Practice Argentina</v>
      </c>
      <c r="J113" t="str">
        <f t="shared" si="12"/>
        <v>ERP_Practice_Argentina</v>
      </c>
      <c r="K113" t="str">
        <f t="shared" si="13"/>
        <v>ERP_Practice_ArgentinaSr. Application Lead</v>
      </c>
      <c r="M113" t="str">
        <f t="shared" si="11"/>
        <v>ERP_Practice_Argentina</v>
      </c>
      <c r="N113" s="185" t="str">
        <f t="shared" si="14"/>
        <v>Sr. Application Lead</v>
      </c>
      <c r="O113" t="str">
        <f t="shared" si="15"/>
        <v>Federico Bosnjak</v>
      </c>
      <c r="P113" t="str" cm="1">
        <f t="array" ref="P113">INDEX(_xlfn.TEXTSPLIT(B113," "),3)</f>
        <v>Argentina</v>
      </c>
      <c r="S113" t="str">
        <v>TS_Practice_IndiaSr. QA Tester - Manual</v>
      </c>
    </row>
    <row r="114" spans="1:19" ht="30" x14ac:dyDescent="0.25">
      <c r="A114" s="33" t="s">
        <v>1153</v>
      </c>
      <c r="B114" s="33" t="s">
        <v>1361</v>
      </c>
      <c r="C114" s="33" t="s">
        <v>1367</v>
      </c>
      <c r="D114" s="33" t="s">
        <v>1368</v>
      </c>
      <c r="E114" s="33" t="s">
        <v>349</v>
      </c>
      <c r="F114" s="33" t="s">
        <v>1364</v>
      </c>
      <c r="H114" t="str">
        <f t="shared" si="10"/>
        <v>ERP Practice Argentina</v>
      </c>
      <c r="J114" t="str">
        <f t="shared" si="12"/>
        <v>ERP_Practice_Argentina</v>
      </c>
      <c r="K114" t="str">
        <f t="shared" si="13"/>
        <v>ERP_Practice_ArgentinaSr. Functional Lead</v>
      </c>
      <c r="M114" t="str">
        <f t="shared" si="11"/>
        <v>ERP_Practice_Argentina</v>
      </c>
      <c r="N114" s="185" t="str">
        <f t="shared" si="14"/>
        <v>Sr. Functional Lead</v>
      </c>
      <c r="O114" t="str">
        <f t="shared" si="15"/>
        <v>Tomas Jamui</v>
      </c>
      <c r="P114" t="str" cm="1">
        <f t="array" ref="P114">INDEX(_xlfn.TEXTSPLIT(B114," "),3)</f>
        <v>Argentina</v>
      </c>
      <c r="S114" t="str">
        <v>TS_Practice_IndiaSr. Developer</v>
      </c>
    </row>
    <row r="115" spans="1:19" ht="30" x14ac:dyDescent="0.25">
      <c r="A115" s="33" t="s">
        <v>1153</v>
      </c>
      <c r="B115" s="33" t="s">
        <v>1361</v>
      </c>
      <c r="C115" s="33" t="s">
        <v>1369</v>
      </c>
      <c r="D115" s="33" t="s">
        <v>1370</v>
      </c>
      <c r="E115" s="33" t="s">
        <v>272</v>
      </c>
      <c r="F115" s="33" t="s">
        <v>1364</v>
      </c>
      <c r="H115" t="str">
        <f t="shared" si="10"/>
        <v>ERP Practice Argentina</v>
      </c>
      <c r="J115" t="str">
        <f t="shared" si="12"/>
        <v>ERP_Practice_Argentina</v>
      </c>
      <c r="K115" t="str">
        <f t="shared" si="13"/>
        <v>ERP_Practice_ArgentinaSr. Application Developer</v>
      </c>
      <c r="M115" t="str">
        <f t="shared" si="11"/>
        <v>ERP_Practice_Argentina</v>
      </c>
      <c r="N115" s="185" t="str">
        <f t="shared" si="14"/>
        <v>Sr. Application Developer</v>
      </c>
      <c r="O115" t="str">
        <f t="shared" si="15"/>
        <v>Mariano Javier Vidal</v>
      </c>
      <c r="P115" t="str" cm="1">
        <f t="array" ref="P115">INDEX(_xlfn.TEXTSPLIT(B115," "),3)</f>
        <v>Argentina</v>
      </c>
      <c r="S115" t="str">
        <v>TS_Practice_IndiaSr. Data Engineer</v>
      </c>
    </row>
    <row r="116" spans="1:19" ht="30" x14ac:dyDescent="0.25">
      <c r="A116" s="33" t="s">
        <v>1153</v>
      </c>
      <c r="B116" s="33" t="s">
        <v>1361</v>
      </c>
      <c r="C116" s="33" t="s">
        <v>1371</v>
      </c>
      <c r="D116" s="33" t="s">
        <v>1372</v>
      </c>
      <c r="E116" s="33" t="s">
        <v>95</v>
      </c>
      <c r="F116" s="33" t="s">
        <v>1364</v>
      </c>
      <c r="H116" t="str">
        <f t="shared" si="10"/>
        <v>ERP Practice Argentina</v>
      </c>
      <c r="J116" t="str">
        <f t="shared" si="12"/>
        <v>ERP_Practice_Argentina</v>
      </c>
      <c r="K116" t="str">
        <f t="shared" si="13"/>
        <v>ERP_Practice_ArgentinaSr. Project Manager</v>
      </c>
      <c r="M116" t="str">
        <f t="shared" si="11"/>
        <v>ERP_Practice_Argentina</v>
      </c>
      <c r="N116" s="185" t="str">
        <f t="shared" si="14"/>
        <v>Sr. Project Manager</v>
      </c>
      <c r="O116" t="str">
        <f t="shared" si="15"/>
        <v>Guillermo Elizeche</v>
      </c>
      <c r="P116" t="str" cm="1">
        <f t="array" ref="P116">INDEX(_xlfn.TEXTSPLIT(B116," "),3)</f>
        <v>Argentina</v>
      </c>
      <c r="S116" t="str">
        <v>TS_Practice_IndiaService Delivery Manager</v>
      </c>
    </row>
    <row r="117" spans="1:19" x14ac:dyDescent="0.25">
      <c r="A117" s="33" t="s">
        <v>1153</v>
      </c>
      <c r="B117" s="33" t="s">
        <v>1373</v>
      </c>
      <c r="C117" s="33" t="s">
        <v>1374</v>
      </c>
      <c r="D117" s="33" t="s">
        <v>1375</v>
      </c>
      <c r="E117" s="33" t="s">
        <v>307</v>
      </c>
      <c r="F117" s="33" t="s">
        <v>1376</v>
      </c>
      <c r="H117" t="str">
        <f t="shared" si="10"/>
        <v>ERP Practice Brazil</v>
      </c>
      <c r="J117" t="str">
        <f t="shared" si="12"/>
        <v>ERP_Practice_Brazil</v>
      </c>
      <c r="K117" t="str">
        <f t="shared" si="13"/>
        <v>ERP_Practice_BrazilApplication Lead</v>
      </c>
      <c r="M117" t="str">
        <f t="shared" si="11"/>
        <v>ERP_Practice_Brazil</v>
      </c>
      <c r="N117" s="185" t="str">
        <f t="shared" si="14"/>
        <v>Application Lead</v>
      </c>
      <c r="O117" t="str">
        <f t="shared" si="15"/>
        <v>Joao R Neto</v>
      </c>
      <c r="P117" t="str" cm="1">
        <f t="array" ref="P117">INDEX(_xlfn.TEXTSPLIT(B117," "),3)</f>
        <v>Brazil</v>
      </c>
      <c r="S117" t="str">
        <v>TS_Practice_IndiaSr. QA Tester - Automation</v>
      </c>
    </row>
    <row r="118" spans="1:19" ht="30" x14ac:dyDescent="0.25">
      <c r="A118" s="33" t="s">
        <v>1153</v>
      </c>
      <c r="B118" s="33" t="s">
        <v>1377</v>
      </c>
      <c r="C118" s="33" t="s">
        <v>1378</v>
      </c>
      <c r="D118" s="33" t="s">
        <v>1379</v>
      </c>
      <c r="E118" s="33" t="s">
        <v>95</v>
      </c>
      <c r="F118" s="33" t="s">
        <v>1380</v>
      </c>
      <c r="H118" t="str">
        <f t="shared" si="10"/>
        <v>ERP Practice CzechRepublic</v>
      </c>
      <c r="J118" t="str">
        <f t="shared" si="12"/>
        <v>ERP_Practice_CzechRepublic</v>
      </c>
      <c r="K118" t="str">
        <f t="shared" si="13"/>
        <v>ERP_Practice_CzechRepublicSr. Project Manager</v>
      </c>
      <c r="M118" t="str">
        <f t="shared" si="11"/>
        <v>ERP_Practice_CzechRepublic</v>
      </c>
      <c r="N118" s="185" t="str">
        <f t="shared" si="14"/>
        <v>Sr. Project Manager</v>
      </c>
      <c r="O118" t="str">
        <f t="shared" si="15"/>
        <v>Saba Khais</v>
      </c>
      <c r="P118" t="str" cm="1">
        <f t="array" ref="P118">INDEX(_xlfn.TEXTSPLIT(B118," "),3)</f>
        <v>CzechRepublic</v>
      </c>
      <c r="S118" t="str">
        <v>TS_Practice_IndiaTechnical Lead</v>
      </c>
    </row>
    <row r="119" spans="1:19" ht="30" x14ac:dyDescent="0.25">
      <c r="A119" s="33" t="s">
        <v>1153</v>
      </c>
      <c r="B119" s="33" t="s">
        <v>1381</v>
      </c>
      <c r="C119" s="33" t="s">
        <v>1382</v>
      </c>
      <c r="D119" s="33" t="s">
        <v>1383</v>
      </c>
      <c r="E119" s="33" t="s">
        <v>358</v>
      </c>
      <c r="F119" s="33" t="s">
        <v>1380</v>
      </c>
      <c r="H119" t="str">
        <f t="shared" si="10"/>
        <v>ERP Practice Germany</v>
      </c>
      <c r="J119" t="str">
        <f t="shared" si="12"/>
        <v>ERP_Practice_Germany</v>
      </c>
      <c r="K119" t="str">
        <f t="shared" si="13"/>
        <v>ERP_Practice_GermanyPrincipal</v>
      </c>
      <c r="M119" t="str">
        <f t="shared" si="11"/>
        <v>ERP_Practice_Germany</v>
      </c>
      <c r="N119" s="185" t="str">
        <f t="shared" si="14"/>
        <v>Principal</v>
      </c>
      <c r="O119" t="str">
        <f t="shared" si="15"/>
        <v>Christian Huber</v>
      </c>
      <c r="P119" t="str" cm="1">
        <f t="array" ref="P119">INDEX(_xlfn.TEXTSPLIT(B119," "),3)</f>
        <v>Germany</v>
      </c>
      <c r="S119" t="str">
        <v>TS_Practice_IndiaQA Tester - Manual</v>
      </c>
    </row>
    <row r="120" spans="1:19" x14ac:dyDescent="0.25">
      <c r="A120" s="33" t="s">
        <v>1131</v>
      </c>
      <c r="B120" s="33" t="s">
        <v>1384</v>
      </c>
      <c r="C120" s="33" t="s">
        <v>1385</v>
      </c>
      <c r="D120" s="33" t="s">
        <v>1386</v>
      </c>
      <c r="E120" s="33" t="s">
        <v>313</v>
      </c>
      <c r="F120" s="33" t="s">
        <v>1172</v>
      </c>
      <c r="H120" t="str">
        <f t="shared" si="10"/>
        <v>ERP Practice India</v>
      </c>
      <c r="J120" t="str">
        <f t="shared" si="12"/>
        <v>ERP_Practice_India</v>
      </c>
      <c r="K120" t="str">
        <f t="shared" si="13"/>
        <v>ERP_Practice_IndiaSolution Architect</v>
      </c>
      <c r="M120" t="str">
        <f t="shared" si="11"/>
        <v>ERP_Practice_India</v>
      </c>
      <c r="N120" s="185" t="str">
        <f t="shared" si="14"/>
        <v>Solution Architect</v>
      </c>
      <c r="O120" t="str">
        <f t="shared" si="15"/>
        <v>Ankush Virender</v>
      </c>
      <c r="P120" t="str" cm="1">
        <f t="array" ref="P120">INDEX(_xlfn.TEXTSPLIT(B120," "),3)</f>
        <v>India</v>
      </c>
      <c r="S120" t="str">
        <v>TS_Practice_IndiaSr. Technical Lead</v>
      </c>
    </row>
    <row r="121" spans="1:19" x14ac:dyDescent="0.25">
      <c r="A121" s="33" t="s">
        <v>1131</v>
      </c>
      <c r="B121" s="33" t="s">
        <v>1384</v>
      </c>
      <c r="C121" s="33" t="s">
        <v>1387</v>
      </c>
      <c r="D121" s="33" t="s">
        <v>1388</v>
      </c>
      <c r="E121" s="33" t="s">
        <v>272</v>
      </c>
      <c r="F121" s="33" t="s">
        <v>1172</v>
      </c>
      <c r="H121" t="str">
        <f t="shared" si="10"/>
        <v>ERP Practice India</v>
      </c>
      <c r="J121" t="str">
        <f t="shared" si="12"/>
        <v>ERP_Practice_India</v>
      </c>
      <c r="K121" t="str">
        <f t="shared" si="13"/>
        <v>ERP_Practice_IndiaSr. Application Developer</v>
      </c>
      <c r="M121" t="str">
        <f t="shared" si="11"/>
        <v>ERP_Practice_India</v>
      </c>
      <c r="N121" s="185" t="str">
        <f t="shared" si="14"/>
        <v>Sr. Application Developer</v>
      </c>
      <c r="O121" t="str">
        <f t="shared" si="15"/>
        <v>Pradeep Kumar Yennabathula</v>
      </c>
      <c r="P121" t="str" cm="1">
        <f t="array" ref="P121">INDEX(_xlfn.TEXTSPLIT(B121," "),3)</f>
        <v>India</v>
      </c>
      <c r="S121" t="str">
        <v>TS_Practice_IndiaSr. DBA</v>
      </c>
    </row>
    <row r="122" spans="1:19" x14ac:dyDescent="0.25">
      <c r="A122" s="33" t="s">
        <v>1131</v>
      </c>
      <c r="B122" s="33" t="s">
        <v>1384</v>
      </c>
      <c r="C122" s="33" t="s">
        <v>1389</v>
      </c>
      <c r="D122" s="33" t="s">
        <v>1390</v>
      </c>
      <c r="E122" s="33" t="s">
        <v>307</v>
      </c>
      <c r="F122" s="33" t="s">
        <v>1172</v>
      </c>
      <c r="H122" t="str">
        <f t="shared" si="10"/>
        <v>ERP Practice India</v>
      </c>
      <c r="J122" t="str">
        <f t="shared" si="12"/>
        <v>ERP_Practice_India</v>
      </c>
      <c r="K122" t="str">
        <f t="shared" si="13"/>
        <v>ERP_Practice_IndiaApplication Lead</v>
      </c>
      <c r="M122" t="str">
        <f t="shared" si="11"/>
        <v>ERP_Practice_India</v>
      </c>
      <c r="N122" s="185" t="str">
        <f t="shared" si="14"/>
        <v>Application Lead</v>
      </c>
      <c r="O122" t="str">
        <f t="shared" si="15"/>
        <v>Venkatesh Bande</v>
      </c>
      <c r="P122" t="str" cm="1">
        <f t="array" ref="P122">INDEX(_xlfn.TEXTSPLIT(B122," "),3)</f>
        <v>India</v>
      </c>
      <c r="S122" t="str">
        <v>TS_Practice_USAProject Manager</v>
      </c>
    </row>
    <row r="123" spans="1:19" x14ac:dyDescent="0.25">
      <c r="A123" s="33" t="s">
        <v>1131</v>
      </c>
      <c r="B123" s="33" t="s">
        <v>1384</v>
      </c>
      <c r="C123" s="33" t="s">
        <v>1391</v>
      </c>
      <c r="D123" s="33" t="s">
        <v>1392</v>
      </c>
      <c r="E123" s="33" t="s">
        <v>219</v>
      </c>
      <c r="F123" s="33" t="s">
        <v>1172</v>
      </c>
      <c r="H123" t="str">
        <f t="shared" si="10"/>
        <v>ERP Practice India</v>
      </c>
      <c r="J123" t="str">
        <f t="shared" si="12"/>
        <v>ERP_Practice_India</v>
      </c>
      <c r="K123" t="str">
        <f t="shared" si="13"/>
        <v>ERP_Practice_IndiaSr. Application Lead</v>
      </c>
      <c r="M123" t="str">
        <f t="shared" si="11"/>
        <v>ERP_Practice_India</v>
      </c>
      <c r="N123" s="185" t="str">
        <f t="shared" si="14"/>
        <v>Sr. Application Lead</v>
      </c>
      <c r="O123" t="str">
        <f t="shared" si="15"/>
        <v>Nazeer Ahamad Shaik</v>
      </c>
      <c r="P123" t="str" cm="1">
        <f t="array" ref="P123">INDEX(_xlfn.TEXTSPLIT(B123," "),3)</f>
        <v>India</v>
      </c>
      <c r="S123" t="str">
        <v>TS_Practice_USAArchitect</v>
      </c>
    </row>
    <row r="124" spans="1:19" x14ac:dyDescent="0.25">
      <c r="A124" s="33" t="s">
        <v>1131</v>
      </c>
      <c r="B124" s="33" t="s">
        <v>1384</v>
      </c>
      <c r="C124" s="33" t="s">
        <v>1393</v>
      </c>
      <c r="D124" s="33" t="s">
        <v>1394</v>
      </c>
      <c r="E124" s="33" t="s">
        <v>216</v>
      </c>
      <c r="F124" s="33" t="s">
        <v>1172</v>
      </c>
      <c r="H124" t="str">
        <f t="shared" si="10"/>
        <v>ERP Practice India</v>
      </c>
      <c r="J124" t="str">
        <f t="shared" si="12"/>
        <v>ERP_Practice_India</v>
      </c>
      <c r="K124" t="str">
        <f t="shared" si="13"/>
        <v>ERP_Practice_IndiaApplication Developer</v>
      </c>
      <c r="M124" t="str">
        <f t="shared" si="11"/>
        <v>ERP_Practice_India</v>
      </c>
      <c r="N124" s="185" t="str">
        <f t="shared" si="14"/>
        <v>Application Developer</v>
      </c>
      <c r="O124" t="str">
        <f t="shared" si="15"/>
        <v>Mani Krishna Ponnaganti</v>
      </c>
      <c r="P124" t="str" cm="1">
        <f t="array" ref="P124">INDEX(_xlfn.TEXTSPLIT(B124," "),3)</f>
        <v>India</v>
      </c>
      <c r="S124" t="str">
        <v>TS_Practice_USASr. Architect</v>
      </c>
    </row>
    <row r="125" spans="1:19" x14ac:dyDescent="0.25">
      <c r="A125" s="33" t="s">
        <v>1131</v>
      </c>
      <c r="B125" s="33" t="s">
        <v>1384</v>
      </c>
      <c r="C125" s="33" t="s">
        <v>1395</v>
      </c>
      <c r="D125" s="33" t="s">
        <v>1396</v>
      </c>
      <c r="E125" s="33" t="s">
        <v>216</v>
      </c>
      <c r="F125" s="33" t="s">
        <v>1172</v>
      </c>
      <c r="H125" t="str">
        <f t="shared" si="10"/>
        <v>ERP Practice India</v>
      </c>
      <c r="J125" t="str">
        <f t="shared" si="12"/>
        <v>ERP_Practice_India</v>
      </c>
      <c r="K125" t="str">
        <f t="shared" si="13"/>
        <v>ERP_Practice_IndiaApplication Developer</v>
      </c>
      <c r="M125" t="str">
        <f t="shared" si="11"/>
        <v>ERP_Practice_India</v>
      </c>
      <c r="N125" s="185" t="str">
        <f t="shared" si="14"/>
        <v>Application Developer</v>
      </c>
      <c r="O125" t="str">
        <f t="shared" si="15"/>
        <v>Utkarsh Ulhas Karwa</v>
      </c>
      <c r="P125" t="str" cm="1">
        <f t="array" ref="P125">INDEX(_xlfn.TEXTSPLIT(B125," "),3)</f>
        <v>India</v>
      </c>
      <c r="S125" t="str">
        <v>TS_Practice_USAProgram Manager</v>
      </c>
    </row>
    <row r="126" spans="1:19" x14ac:dyDescent="0.25">
      <c r="A126" s="33" t="s">
        <v>1397</v>
      </c>
      <c r="B126" s="33" t="s">
        <v>1384</v>
      </c>
      <c r="C126" s="33" t="s">
        <v>1398</v>
      </c>
      <c r="D126" s="33" t="s">
        <v>1399</v>
      </c>
      <c r="E126" s="33" t="s">
        <v>272</v>
      </c>
      <c r="F126" s="33" t="s">
        <v>1152</v>
      </c>
      <c r="H126" t="str">
        <f t="shared" si="10"/>
        <v>ERP Practice India</v>
      </c>
      <c r="J126" t="str">
        <f t="shared" si="12"/>
        <v>ERP_Practice_India</v>
      </c>
      <c r="K126" t="str">
        <f t="shared" si="13"/>
        <v>ERP_Practice_IndiaSr. Application Developer</v>
      </c>
      <c r="M126" t="str">
        <f t="shared" si="11"/>
        <v>ERP_Practice_India</v>
      </c>
      <c r="N126" s="185" t="str">
        <f t="shared" si="14"/>
        <v>Sr. Application Developer</v>
      </c>
      <c r="O126" t="str">
        <f t="shared" si="15"/>
        <v>Vijay Bheemanathini</v>
      </c>
      <c r="P126" t="str" cm="1">
        <f t="array" ref="P126">INDEX(_xlfn.TEXTSPLIT(B126," "),3)</f>
        <v>India</v>
      </c>
      <c r="S126" t="str">
        <v>TS_Practice_USATechnical Lead</v>
      </c>
    </row>
    <row r="127" spans="1:19" x14ac:dyDescent="0.25">
      <c r="A127" s="33" t="s">
        <v>1153</v>
      </c>
      <c r="B127" s="33" t="s">
        <v>1384</v>
      </c>
      <c r="C127" s="33" t="s">
        <v>1400</v>
      </c>
      <c r="D127" s="33" t="s">
        <v>1401</v>
      </c>
      <c r="E127" s="33" t="s">
        <v>313</v>
      </c>
      <c r="F127" s="33" t="s">
        <v>1402</v>
      </c>
      <c r="H127" t="str">
        <f t="shared" si="10"/>
        <v>ERP Practice India</v>
      </c>
      <c r="J127" t="str">
        <f t="shared" si="12"/>
        <v>ERP_Practice_India</v>
      </c>
      <c r="K127" t="str">
        <f t="shared" si="13"/>
        <v>ERP_Practice_IndiaSolution Architect</v>
      </c>
      <c r="M127" t="str">
        <f t="shared" si="11"/>
        <v>ERP_Practice_India</v>
      </c>
      <c r="N127" s="185" t="str">
        <f t="shared" si="14"/>
        <v>Solution Architect</v>
      </c>
      <c r="O127" t="str">
        <f t="shared" si="15"/>
        <v>Raju Karre</v>
      </c>
      <c r="P127" t="str" cm="1">
        <f t="array" ref="P127">INDEX(_xlfn.TEXTSPLIT(B127," "),3)</f>
        <v>India</v>
      </c>
      <c r="S127" t="str">
        <v>TS_Practice_USASecurity Engineer</v>
      </c>
    </row>
    <row r="128" spans="1:19" x14ac:dyDescent="0.25">
      <c r="A128" s="33" t="s">
        <v>1153</v>
      </c>
      <c r="B128" s="33" t="s">
        <v>1384</v>
      </c>
      <c r="C128" s="33" t="s">
        <v>1403</v>
      </c>
      <c r="D128" s="33" t="s">
        <v>1404</v>
      </c>
      <c r="E128" s="33" t="s">
        <v>313</v>
      </c>
      <c r="F128" s="33" t="s">
        <v>1402</v>
      </c>
      <c r="H128" t="str">
        <f t="shared" si="10"/>
        <v>ERP Practice India</v>
      </c>
      <c r="J128" t="str">
        <f t="shared" si="12"/>
        <v>ERP_Practice_India</v>
      </c>
      <c r="K128" t="str">
        <f t="shared" si="13"/>
        <v>ERP_Practice_IndiaSolution Architect</v>
      </c>
      <c r="M128" t="str">
        <f t="shared" si="11"/>
        <v>ERP_Practice_India</v>
      </c>
      <c r="N128" s="185" t="str">
        <f t="shared" si="14"/>
        <v>Solution Architect</v>
      </c>
      <c r="O128" t="str">
        <f t="shared" si="15"/>
        <v>Shashank Jain</v>
      </c>
      <c r="P128" t="str" cm="1">
        <f t="array" ref="P128">INDEX(_xlfn.TEXTSPLIT(B128," "),3)</f>
        <v>India</v>
      </c>
      <c r="S128" t="str">
        <v>TS_Practice_USADeveloper</v>
      </c>
    </row>
    <row r="129" spans="1:19" x14ac:dyDescent="0.25">
      <c r="A129" s="33" t="s">
        <v>1153</v>
      </c>
      <c r="B129" s="33" t="s">
        <v>1384</v>
      </c>
      <c r="C129" s="33" t="s">
        <v>1405</v>
      </c>
      <c r="D129" s="33" t="s">
        <v>1406</v>
      </c>
      <c r="E129" s="33" t="s">
        <v>313</v>
      </c>
      <c r="F129" s="33" t="s">
        <v>1402</v>
      </c>
      <c r="H129" t="str">
        <f t="shared" si="10"/>
        <v>ERP Practice India</v>
      </c>
      <c r="J129" t="str">
        <f t="shared" si="12"/>
        <v>ERP_Practice_India</v>
      </c>
      <c r="K129" t="str">
        <f t="shared" si="13"/>
        <v>ERP_Practice_IndiaSolution Architect</v>
      </c>
      <c r="M129" t="str">
        <f t="shared" si="11"/>
        <v>ERP_Practice_India</v>
      </c>
      <c r="N129" s="185" t="str">
        <f t="shared" si="14"/>
        <v>Solution Architect</v>
      </c>
      <c r="O129" t="str">
        <f t="shared" si="15"/>
        <v>Arpit Modi</v>
      </c>
      <c r="P129" t="str" cm="1">
        <f t="array" ref="P129">INDEX(_xlfn.TEXTSPLIT(B129," "),3)</f>
        <v>India</v>
      </c>
      <c r="S129" t="str">
        <v>TS_Practice_USASr. Application Developer</v>
      </c>
    </row>
    <row r="130" spans="1:19" x14ac:dyDescent="0.25">
      <c r="A130" s="33" t="s">
        <v>1153</v>
      </c>
      <c r="B130" s="33" t="s">
        <v>1384</v>
      </c>
      <c r="C130" s="33" t="s">
        <v>1407</v>
      </c>
      <c r="D130" s="33" t="s">
        <v>1167</v>
      </c>
      <c r="E130" s="33" t="s">
        <v>241</v>
      </c>
      <c r="F130" s="33" t="s">
        <v>1402</v>
      </c>
      <c r="H130" t="str">
        <f t="shared" si="10"/>
        <v>ERP Practice India</v>
      </c>
      <c r="J130" t="str">
        <f t="shared" si="12"/>
        <v>ERP_Practice_India</v>
      </c>
      <c r="K130" t="str">
        <f t="shared" si="13"/>
        <v>ERP_Practice_IndiaSr. Solution Architect</v>
      </c>
      <c r="M130" t="str">
        <f t="shared" si="11"/>
        <v>ERP_Practice_India</v>
      </c>
      <c r="N130" s="185" t="str">
        <f t="shared" si="14"/>
        <v>Sr. Solution Architect</v>
      </c>
      <c r="O130" t="str">
        <f t="shared" si="15"/>
        <v>Sanchit Agarwal</v>
      </c>
      <c r="P130" t="str" cm="1">
        <f t="array" ref="P130">INDEX(_xlfn.TEXTSPLIT(B130," "),3)</f>
        <v>India</v>
      </c>
      <c r="S130" t="str">
        <v>TS_Practice_USASolution Architect</v>
      </c>
    </row>
    <row r="131" spans="1:19" x14ac:dyDescent="0.25">
      <c r="A131" s="33" t="s">
        <v>1408</v>
      </c>
      <c r="B131" s="33" t="s">
        <v>1384</v>
      </c>
      <c r="C131" s="33" t="s">
        <v>1409</v>
      </c>
      <c r="D131" s="33" t="s">
        <v>1410</v>
      </c>
      <c r="E131" s="33" t="s">
        <v>241</v>
      </c>
      <c r="F131" s="33" t="s">
        <v>1402</v>
      </c>
      <c r="H131" t="str">
        <f t="shared" ref="H131:H156" si="16">SUBSTITUTE(SUBSTITUTE(B131,"Organizational Effectiveness","EPM"),"CPM","EPM")</f>
        <v>ERP Practice India</v>
      </c>
      <c r="J131" t="str">
        <f t="shared" si="12"/>
        <v>ERP_Practice_India</v>
      </c>
      <c r="K131" t="str">
        <f t="shared" si="13"/>
        <v>ERP_Practice_IndiaSr. Solution Architect</v>
      </c>
      <c r="M131" t="str">
        <f t="shared" ref="M131:M193" si="17">J131</f>
        <v>ERP_Practice_India</v>
      </c>
      <c r="N131" s="185" t="str">
        <f t="shared" si="14"/>
        <v>Sr. Solution Architect</v>
      </c>
      <c r="O131" t="str">
        <f t="shared" si="15"/>
        <v>Praneetha Goduguluri</v>
      </c>
      <c r="P131" t="str" cm="1">
        <f t="array" ref="P131">INDEX(_xlfn.TEXTSPLIT(B131," "),3)</f>
        <v>India</v>
      </c>
      <c r="S131" t="str">
        <v>TS_Practice_USAQA Tester - Manual</v>
      </c>
    </row>
    <row r="132" spans="1:19" ht="30" x14ac:dyDescent="0.25">
      <c r="A132" s="33" t="s">
        <v>1153</v>
      </c>
      <c r="B132" s="33" t="s">
        <v>1411</v>
      </c>
      <c r="C132" s="33" t="s">
        <v>1412</v>
      </c>
      <c r="D132" s="33" t="s">
        <v>1413</v>
      </c>
      <c r="E132" s="33" t="s">
        <v>216</v>
      </c>
      <c r="F132" s="33" t="s">
        <v>1414</v>
      </c>
      <c r="H132" t="str">
        <f t="shared" si="16"/>
        <v>ERP Practice Mexico</v>
      </c>
      <c r="J132" t="str">
        <f t="shared" ref="J132:J194" si="18">SUBSTITUTE(TRIM(H132)," ","_")</f>
        <v>ERP_Practice_Mexico</v>
      </c>
      <c r="K132" t="str">
        <f t="shared" si="13"/>
        <v>ERP_Practice_MexicoApplication Developer</v>
      </c>
      <c r="M132" t="str">
        <f t="shared" si="17"/>
        <v>ERP_Practice_Mexico</v>
      </c>
      <c r="N132" s="185" t="str">
        <f t="shared" si="14"/>
        <v>Application Developer</v>
      </c>
      <c r="O132" t="str">
        <f t="shared" si="15"/>
        <v>Melvin Benitez</v>
      </c>
      <c r="P132" t="str" cm="1">
        <f t="array" ref="P132">INDEX(_xlfn.TEXTSPLIT(B132," "),3)</f>
        <v>Mexico</v>
      </c>
      <c r="S132" t="str">
        <v>TS_Practice_USABusiness/Data Analyst</v>
      </c>
    </row>
    <row r="133" spans="1:19" x14ac:dyDescent="0.25">
      <c r="A133" s="33" t="s">
        <v>1153</v>
      </c>
      <c r="B133" s="33" t="s">
        <v>1415</v>
      </c>
      <c r="C133" s="33" t="s">
        <v>1416</v>
      </c>
      <c r="D133" s="33" t="s">
        <v>1417</v>
      </c>
      <c r="E133" s="33" t="s">
        <v>376</v>
      </c>
      <c r="F133" s="33" t="s">
        <v>1418</v>
      </c>
      <c r="H133" t="str">
        <f t="shared" si="16"/>
        <v>ERP Practice Spain</v>
      </c>
      <c r="J133" t="str">
        <f t="shared" si="18"/>
        <v>ERP_Practice_Spain</v>
      </c>
      <c r="K133" t="str">
        <f t="shared" si="13"/>
        <v>ERP_Practice_SpainTechno-Functional Finance Lead</v>
      </c>
      <c r="M133" t="str">
        <f t="shared" si="17"/>
        <v>ERP_Practice_Spain</v>
      </c>
      <c r="N133" s="185" t="str">
        <f t="shared" si="14"/>
        <v>Techno-Functional Finance Lead</v>
      </c>
      <c r="O133" t="str">
        <f t="shared" si="15"/>
        <v>Bruce Murray</v>
      </c>
      <c r="P133" t="str" cm="1">
        <f t="array" ref="P133">INDEX(_xlfn.TEXTSPLIT(B133," "),3)</f>
        <v>Spain</v>
      </c>
      <c r="S133" t="str">
        <v/>
      </c>
    </row>
    <row r="134" spans="1:19" x14ac:dyDescent="0.25">
      <c r="A134" t="s">
        <v>1044</v>
      </c>
      <c r="B134" s="33" t="s">
        <v>1419</v>
      </c>
      <c r="C134" t="s">
        <v>1420</v>
      </c>
      <c r="D134" t="s">
        <v>1421</v>
      </c>
      <c r="E134" t="s">
        <v>307</v>
      </c>
      <c r="F134" t="s">
        <v>1152</v>
      </c>
      <c r="H134" t="str">
        <f t="shared" si="16"/>
        <v>ERP Practice USA</v>
      </c>
      <c r="J134" t="str">
        <f t="shared" si="18"/>
        <v>ERP_Practice_USA</v>
      </c>
      <c r="K134" t="str">
        <f t="shared" si="13"/>
        <v>ERP_Practice_USAApplication Lead</v>
      </c>
      <c r="M134" t="str">
        <f t="shared" si="17"/>
        <v>ERP_Practice_USA</v>
      </c>
      <c r="N134" s="185" t="str">
        <f t="shared" si="14"/>
        <v>Application Lead</v>
      </c>
      <c r="O134" t="str">
        <f t="shared" si="15"/>
        <v>Cristina Purice</v>
      </c>
      <c r="P134" t="str" cm="1">
        <f t="array" ref="P134">INDEX(_xlfn.TEXTSPLIT(B134," "),3)</f>
        <v>USA</v>
      </c>
    </row>
    <row r="135" spans="1:19" x14ac:dyDescent="0.25">
      <c r="A135" s="33" t="s">
        <v>1044</v>
      </c>
      <c r="B135" s="33" t="s">
        <v>1419</v>
      </c>
      <c r="C135" s="33" t="s">
        <v>1422</v>
      </c>
      <c r="D135" s="33" t="s">
        <v>1423</v>
      </c>
      <c r="E135" s="33" t="s">
        <v>219</v>
      </c>
      <c r="F135" s="33" t="s">
        <v>1152</v>
      </c>
      <c r="H135" t="str">
        <f t="shared" si="16"/>
        <v>ERP Practice USA</v>
      </c>
      <c r="J135" t="str">
        <f t="shared" si="18"/>
        <v>ERP_Practice_USA</v>
      </c>
      <c r="K135" t="str">
        <f t="shared" si="13"/>
        <v>ERP_Practice_USASr. Application Lead</v>
      </c>
      <c r="M135" t="str">
        <f t="shared" si="17"/>
        <v>ERP_Practice_USA</v>
      </c>
      <c r="N135" s="185" t="str">
        <f t="shared" si="14"/>
        <v>Sr. Application Lead</v>
      </c>
      <c r="O135" t="str">
        <f t="shared" si="15"/>
        <v>Brian Kotch</v>
      </c>
      <c r="P135" t="str" cm="1">
        <f t="array" ref="P135">INDEX(_xlfn.TEXTSPLIT(B135," "),3)</f>
        <v>USA</v>
      </c>
    </row>
    <row r="136" spans="1:19" x14ac:dyDescent="0.25">
      <c r="A136" s="33" t="s">
        <v>1131</v>
      </c>
      <c r="B136" s="33" t="s">
        <v>1419</v>
      </c>
      <c r="C136" s="33" t="s">
        <v>1424</v>
      </c>
      <c r="D136" s="33" t="s">
        <v>1425</v>
      </c>
      <c r="E136" s="33" t="s">
        <v>381</v>
      </c>
      <c r="F136" s="33" t="s">
        <v>1135</v>
      </c>
      <c r="H136" t="str">
        <f t="shared" si="16"/>
        <v>ERP Practice USA</v>
      </c>
      <c r="J136" t="str">
        <f t="shared" si="18"/>
        <v>ERP_Practice_USA</v>
      </c>
      <c r="K136" t="str">
        <f t="shared" si="13"/>
        <v>ERP_Practice_USAApplication Support Lead</v>
      </c>
      <c r="M136" t="str">
        <f t="shared" si="17"/>
        <v>ERP_Practice_USA</v>
      </c>
      <c r="N136" s="185" t="str">
        <f t="shared" si="14"/>
        <v>Application Support Lead</v>
      </c>
      <c r="O136" t="str">
        <f t="shared" si="15"/>
        <v>Rick D Humphress</v>
      </c>
      <c r="P136" t="str" cm="1">
        <f t="array" ref="P136">INDEX(_xlfn.TEXTSPLIT(B136," "),3)</f>
        <v>USA</v>
      </c>
    </row>
    <row r="137" spans="1:19" x14ac:dyDescent="0.25">
      <c r="A137" s="33" t="s">
        <v>1131</v>
      </c>
      <c r="B137" s="33" t="s">
        <v>1419</v>
      </c>
      <c r="C137" s="33" t="s">
        <v>1426</v>
      </c>
      <c r="D137" s="33" t="s">
        <v>1427</v>
      </c>
      <c r="E137" s="33" t="s">
        <v>307</v>
      </c>
      <c r="F137" s="33" t="s">
        <v>1135</v>
      </c>
      <c r="H137" t="str">
        <f t="shared" si="16"/>
        <v>ERP Practice USA</v>
      </c>
      <c r="J137" t="str">
        <f t="shared" si="18"/>
        <v>ERP_Practice_USA</v>
      </c>
      <c r="K137" t="str">
        <f t="shared" si="13"/>
        <v>ERP_Practice_USAApplication Lead</v>
      </c>
      <c r="M137" t="str">
        <f t="shared" si="17"/>
        <v>ERP_Practice_USA</v>
      </c>
      <c r="N137" s="185" t="str">
        <f t="shared" si="14"/>
        <v>Application Lead</v>
      </c>
      <c r="O137" t="str">
        <f t="shared" si="15"/>
        <v>Elizabeth Stallings</v>
      </c>
      <c r="P137" t="str" cm="1">
        <f t="array" ref="P137">INDEX(_xlfn.TEXTSPLIT(B137," "),3)</f>
        <v>USA</v>
      </c>
    </row>
    <row r="138" spans="1:19" x14ac:dyDescent="0.25">
      <c r="A138" s="33" t="s">
        <v>1131</v>
      </c>
      <c r="B138" s="33" t="s">
        <v>1419</v>
      </c>
      <c r="C138" s="33" t="s">
        <v>1428</v>
      </c>
      <c r="D138" s="33" t="s">
        <v>1429</v>
      </c>
      <c r="E138" s="33" t="s">
        <v>219</v>
      </c>
      <c r="F138" s="33" t="s">
        <v>1135</v>
      </c>
      <c r="H138" t="str">
        <f t="shared" si="16"/>
        <v>ERP Practice USA</v>
      </c>
      <c r="J138" t="str">
        <f t="shared" si="18"/>
        <v>ERP_Practice_USA</v>
      </c>
      <c r="K138" t="str">
        <f t="shared" si="13"/>
        <v>ERP_Practice_USASr. Application Lead</v>
      </c>
      <c r="M138" t="str">
        <f t="shared" si="17"/>
        <v>ERP_Practice_USA</v>
      </c>
      <c r="N138" s="185" t="str">
        <f t="shared" si="14"/>
        <v>Sr. Application Lead</v>
      </c>
      <c r="O138" t="str">
        <f t="shared" si="15"/>
        <v>Veera Gandreti</v>
      </c>
      <c r="P138" t="str" cm="1">
        <f t="array" ref="P138">INDEX(_xlfn.TEXTSPLIT(B138," "),3)</f>
        <v>USA</v>
      </c>
    </row>
    <row r="139" spans="1:19" x14ac:dyDescent="0.25">
      <c r="A139" s="33" t="s">
        <v>1131</v>
      </c>
      <c r="B139" s="33" t="s">
        <v>1419</v>
      </c>
      <c r="C139" s="33" t="s">
        <v>1154</v>
      </c>
      <c r="D139" s="33" t="s">
        <v>1430</v>
      </c>
      <c r="E139" s="33" t="s">
        <v>241</v>
      </c>
      <c r="F139" s="33" t="s">
        <v>1135</v>
      </c>
      <c r="H139" t="str">
        <f t="shared" si="16"/>
        <v>ERP Practice USA</v>
      </c>
      <c r="J139" t="str">
        <f t="shared" si="18"/>
        <v>ERP_Practice_USA</v>
      </c>
      <c r="K139" t="str">
        <f t="shared" si="13"/>
        <v>ERP_Practice_USASr. Solution Architect</v>
      </c>
      <c r="M139" t="str">
        <f t="shared" si="17"/>
        <v>ERP_Practice_USA</v>
      </c>
      <c r="N139" s="185" t="str">
        <f t="shared" si="14"/>
        <v>Sr. Solution Architect</v>
      </c>
      <c r="O139" t="str">
        <f t="shared" si="15"/>
        <v>Sean Stillwell</v>
      </c>
      <c r="P139" t="str" cm="1">
        <f t="array" ref="P139">INDEX(_xlfn.TEXTSPLIT(B139," "),3)</f>
        <v>USA</v>
      </c>
    </row>
    <row r="140" spans="1:19" x14ac:dyDescent="0.25">
      <c r="A140" s="33" t="s">
        <v>1131</v>
      </c>
      <c r="B140" s="33" t="s">
        <v>1419</v>
      </c>
      <c r="C140" s="33" t="s">
        <v>1431</v>
      </c>
      <c r="D140" s="33" t="s">
        <v>1432</v>
      </c>
      <c r="E140" s="33" t="s">
        <v>200</v>
      </c>
      <c r="F140" s="33" t="s">
        <v>1135</v>
      </c>
      <c r="H140" t="str">
        <f t="shared" si="16"/>
        <v>ERP Practice USA</v>
      </c>
      <c r="J140" t="str">
        <f t="shared" si="18"/>
        <v>ERP_Practice_USA</v>
      </c>
      <c r="K140" t="str">
        <f t="shared" si="13"/>
        <v>ERP_Practice_USAProject Manager</v>
      </c>
      <c r="M140" t="str">
        <f t="shared" si="17"/>
        <v>ERP_Practice_USA</v>
      </c>
      <c r="N140" s="185" t="str">
        <f t="shared" si="14"/>
        <v>Project Manager</v>
      </c>
      <c r="O140" t="str">
        <f t="shared" si="15"/>
        <v>Benjamin Lyskawa</v>
      </c>
      <c r="P140" t="str" cm="1">
        <f t="array" ref="P140">INDEX(_xlfn.TEXTSPLIT(B140," "),3)</f>
        <v>USA</v>
      </c>
    </row>
    <row r="141" spans="1:19" x14ac:dyDescent="0.25">
      <c r="A141" s="33" t="s">
        <v>1433</v>
      </c>
      <c r="B141" s="33" t="s">
        <v>1419</v>
      </c>
      <c r="C141" s="33" t="s">
        <v>1434</v>
      </c>
      <c r="D141" s="33" t="s">
        <v>1435</v>
      </c>
      <c r="E141" s="33" t="s">
        <v>320</v>
      </c>
      <c r="F141" s="33" t="s">
        <v>1152</v>
      </c>
      <c r="H141" t="str">
        <f t="shared" si="16"/>
        <v>ERP Practice USA</v>
      </c>
      <c r="J141" t="str">
        <f t="shared" si="18"/>
        <v>ERP_Practice_USA</v>
      </c>
      <c r="K141" t="str">
        <f t="shared" si="13"/>
        <v>ERP_Practice_USASr. Application Support Lead</v>
      </c>
      <c r="M141" t="str">
        <f t="shared" si="17"/>
        <v>ERP_Practice_USA</v>
      </c>
      <c r="N141" s="185" t="str">
        <f t="shared" si="14"/>
        <v>Sr. Application Support Lead</v>
      </c>
      <c r="O141" t="str">
        <f t="shared" si="15"/>
        <v>Venkateshwar Reddy</v>
      </c>
      <c r="P141" t="str" cm="1">
        <f t="array" ref="P141">INDEX(_xlfn.TEXTSPLIT(B141," "),3)</f>
        <v>USA</v>
      </c>
    </row>
    <row r="142" spans="1:19" x14ac:dyDescent="0.25">
      <c r="A142" s="33" t="s">
        <v>1433</v>
      </c>
      <c r="B142" s="33" t="s">
        <v>1419</v>
      </c>
      <c r="C142" s="33" t="s">
        <v>1436</v>
      </c>
      <c r="D142" s="33" t="s">
        <v>1437</v>
      </c>
      <c r="E142" s="33" t="s">
        <v>307</v>
      </c>
      <c r="F142" s="33" t="s">
        <v>1152</v>
      </c>
      <c r="H142" t="str">
        <f t="shared" si="16"/>
        <v>ERP Practice USA</v>
      </c>
      <c r="J142" t="str">
        <f t="shared" si="18"/>
        <v>ERP_Practice_USA</v>
      </c>
      <c r="K142" t="str">
        <f t="shared" si="13"/>
        <v>ERP_Practice_USAApplication Lead</v>
      </c>
      <c r="M142" t="str">
        <f t="shared" si="17"/>
        <v>ERP_Practice_USA</v>
      </c>
      <c r="N142" s="185" t="str">
        <f t="shared" si="14"/>
        <v>Application Lead</v>
      </c>
      <c r="O142" t="str">
        <f t="shared" si="15"/>
        <v>Suresh Lingutla</v>
      </c>
      <c r="P142" t="str" cm="1">
        <f t="array" ref="P142">INDEX(_xlfn.TEXTSPLIT(B142," "),3)</f>
        <v>USA</v>
      </c>
    </row>
    <row r="143" spans="1:19" x14ac:dyDescent="0.25">
      <c r="A143" s="33" t="s">
        <v>1397</v>
      </c>
      <c r="B143" s="33" t="s">
        <v>1419</v>
      </c>
      <c r="C143" s="33" t="s">
        <v>1438</v>
      </c>
      <c r="D143" s="33" t="s">
        <v>1311</v>
      </c>
      <c r="E143" s="33" t="s">
        <v>272</v>
      </c>
      <c r="F143" s="33" t="s">
        <v>1152</v>
      </c>
      <c r="H143" t="str">
        <f t="shared" si="16"/>
        <v>ERP Practice USA</v>
      </c>
      <c r="J143" t="str">
        <f t="shared" si="18"/>
        <v>ERP_Practice_USA</v>
      </c>
      <c r="K143" t="str">
        <f t="shared" si="13"/>
        <v>ERP_Practice_USASr. Application Developer</v>
      </c>
      <c r="M143" t="str">
        <f t="shared" si="17"/>
        <v>ERP_Practice_USA</v>
      </c>
      <c r="N143" s="185" t="str">
        <f t="shared" si="14"/>
        <v>Sr. Application Developer</v>
      </c>
      <c r="O143" t="str">
        <f t="shared" si="15"/>
        <v>Vasanth Krishnamoorthy</v>
      </c>
      <c r="P143" t="str" cm="1">
        <f t="array" ref="P143">INDEX(_xlfn.TEXTSPLIT(B143," "),3)</f>
        <v>USA</v>
      </c>
    </row>
    <row r="144" spans="1:19" x14ac:dyDescent="0.25">
      <c r="A144" s="33" t="s">
        <v>1397</v>
      </c>
      <c r="B144" s="33" t="s">
        <v>1419</v>
      </c>
      <c r="C144" s="33" t="s">
        <v>1439</v>
      </c>
      <c r="D144" s="33" t="s">
        <v>1440</v>
      </c>
      <c r="E144" s="33" t="s">
        <v>320</v>
      </c>
      <c r="F144" s="33" t="s">
        <v>1152</v>
      </c>
      <c r="H144" t="str">
        <f t="shared" si="16"/>
        <v>ERP Practice USA</v>
      </c>
      <c r="J144" t="str">
        <f t="shared" si="18"/>
        <v>ERP_Practice_USA</v>
      </c>
      <c r="K144" t="str">
        <f t="shared" si="13"/>
        <v>ERP_Practice_USASr. Application Support Lead</v>
      </c>
      <c r="M144" t="str">
        <f t="shared" si="17"/>
        <v>ERP_Practice_USA</v>
      </c>
      <c r="N144" s="185" t="str">
        <f t="shared" si="14"/>
        <v>Sr. Application Support Lead</v>
      </c>
      <c r="O144" t="str">
        <f t="shared" si="15"/>
        <v>Muthukumar Kumar</v>
      </c>
      <c r="P144" t="str" cm="1">
        <f t="array" ref="P144">INDEX(_xlfn.TEXTSPLIT(B144," "),3)</f>
        <v>USA</v>
      </c>
    </row>
    <row r="145" spans="1:16" x14ac:dyDescent="0.25">
      <c r="A145" s="33" t="s">
        <v>1397</v>
      </c>
      <c r="B145" s="33" t="s">
        <v>1419</v>
      </c>
      <c r="C145" s="33" t="s">
        <v>1441</v>
      </c>
      <c r="D145" s="33" t="s">
        <v>1442</v>
      </c>
      <c r="E145" s="33" t="s">
        <v>313</v>
      </c>
      <c r="F145" s="33" t="s">
        <v>1152</v>
      </c>
      <c r="H145" t="str">
        <f t="shared" si="16"/>
        <v>ERP Practice USA</v>
      </c>
      <c r="J145" t="str">
        <f t="shared" si="18"/>
        <v>ERP_Practice_USA</v>
      </c>
      <c r="K145" t="str">
        <f t="shared" si="13"/>
        <v>ERP_Practice_USASolution Architect</v>
      </c>
      <c r="M145" t="str">
        <f t="shared" si="17"/>
        <v>ERP_Practice_USA</v>
      </c>
      <c r="N145" s="185" t="str">
        <f t="shared" si="14"/>
        <v>Solution Architect</v>
      </c>
      <c r="O145" t="str">
        <f t="shared" si="15"/>
        <v>Karthic Sekar</v>
      </c>
      <c r="P145" t="str" cm="1">
        <f t="array" ref="P145">INDEX(_xlfn.TEXTSPLIT(B145," "),3)</f>
        <v>USA</v>
      </c>
    </row>
    <row r="146" spans="1:16" x14ac:dyDescent="0.25">
      <c r="A146" s="33" t="s">
        <v>1443</v>
      </c>
      <c r="B146" s="33" t="s">
        <v>1419</v>
      </c>
      <c r="C146" s="33" t="s">
        <v>1444</v>
      </c>
      <c r="D146" s="33" t="s">
        <v>1445</v>
      </c>
      <c r="E146" s="33" t="s">
        <v>216</v>
      </c>
      <c r="F146" s="33" t="s">
        <v>1152</v>
      </c>
      <c r="H146" t="str">
        <f t="shared" si="16"/>
        <v>ERP Practice USA</v>
      </c>
      <c r="J146" t="str">
        <f t="shared" si="18"/>
        <v>ERP_Practice_USA</v>
      </c>
      <c r="K146" t="str">
        <f t="shared" si="13"/>
        <v>ERP_Practice_USAApplication Developer</v>
      </c>
      <c r="M146" t="str">
        <f t="shared" si="17"/>
        <v>ERP_Practice_USA</v>
      </c>
      <c r="N146" s="185" t="str">
        <f t="shared" si="14"/>
        <v>Application Developer</v>
      </c>
      <c r="O146" t="str">
        <f t="shared" si="15"/>
        <v>Srinivasa Uppada</v>
      </c>
      <c r="P146" t="str" cm="1">
        <f t="array" ref="P146">INDEX(_xlfn.TEXTSPLIT(B146," "),3)</f>
        <v>USA</v>
      </c>
    </row>
    <row r="147" spans="1:16" x14ac:dyDescent="0.25">
      <c r="A147" s="33" t="s">
        <v>1149</v>
      </c>
      <c r="B147" s="33" t="s">
        <v>1419</v>
      </c>
      <c r="C147" s="33" t="s">
        <v>1154</v>
      </c>
      <c r="D147" s="33" t="s">
        <v>1446</v>
      </c>
      <c r="E147" s="33" t="s">
        <v>307</v>
      </c>
      <c r="F147" s="33" t="s">
        <v>1152</v>
      </c>
      <c r="H147" t="str">
        <f t="shared" si="16"/>
        <v>ERP Practice USA</v>
      </c>
      <c r="J147" t="str">
        <f t="shared" si="18"/>
        <v>ERP_Practice_USA</v>
      </c>
      <c r="K147" t="str">
        <f t="shared" si="13"/>
        <v>ERP_Practice_USAApplication Lead</v>
      </c>
      <c r="M147" t="str">
        <f t="shared" si="17"/>
        <v>ERP_Practice_USA</v>
      </c>
      <c r="N147" s="185" t="str">
        <f t="shared" si="14"/>
        <v>Application Lead</v>
      </c>
      <c r="O147" t="str">
        <f t="shared" si="15"/>
        <v>Sean Imolehin</v>
      </c>
      <c r="P147" t="str" cm="1">
        <f t="array" ref="P147">INDEX(_xlfn.TEXTSPLIT(B147," "),3)</f>
        <v>USA</v>
      </c>
    </row>
    <row r="148" spans="1:16" x14ac:dyDescent="0.25">
      <c r="A148" s="33" t="s">
        <v>1153</v>
      </c>
      <c r="B148" s="33" t="s">
        <v>1419</v>
      </c>
      <c r="C148" s="33" t="s">
        <v>1447</v>
      </c>
      <c r="D148" s="33" t="s">
        <v>1448</v>
      </c>
      <c r="E148" s="33" t="s">
        <v>313</v>
      </c>
      <c r="F148" s="33" t="s">
        <v>1152</v>
      </c>
      <c r="H148" t="str">
        <f t="shared" si="16"/>
        <v>ERP Practice USA</v>
      </c>
      <c r="J148" t="str">
        <f t="shared" si="18"/>
        <v>ERP_Practice_USA</v>
      </c>
      <c r="K148" t="str">
        <f t="shared" si="13"/>
        <v>ERP_Practice_USASolution Architect</v>
      </c>
      <c r="M148" t="str">
        <f t="shared" si="17"/>
        <v>ERP_Practice_USA</v>
      </c>
      <c r="N148" s="185" t="str">
        <f t="shared" si="14"/>
        <v>Solution Architect</v>
      </c>
      <c r="O148" t="str">
        <f t="shared" si="15"/>
        <v>Roland Morgan</v>
      </c>
      <c r="P148" t="str" cm="1">
        <f t="array" ref="P148">INDEX(_xlfn.TEXTSPLIT(B148," "),3)</f>
        <v>USA</v>
      </c>
    </row>
    <row r="149" spans="1:16" x14ac:dyDescent="0.25">
      <c r="A149" s="33" t="s">
        <v>1153</v>
      </c>
      <c r="B149" s="33" t="s">
        <v>1419</v>
      </c>
      <c r="C149" s="33" t="s">
        <v>1449</v>
      </c>
      <c r="D149" s="33" t="s">
        <v>1450</v>
      </c>
      <c r="E149" s="33" t="s">
        <v>313</v>
      </c>
      <c r="F149" s="33" t="s">
        <v>1152</v>
      </c>
      <c r="H149" t="str">
        <f t="shared" si="16"/>
        <v>ERP Practice USA</v>
      </c>
      <c r="J149" t="str">
        <f t="shared" si="18"/>
        <v>ERP_Practice_USA</v>
      </c>
      <c r="K149" t="str">
        <f t="shared" si="13"/>
        <v>ERP_Practice_USASolution Architect</v>
      </c>
      <c r="M149" t="str">
        <f t="shared" si="17"/>
        <v>ERP_Practice_USA</v>
      </c>
      <c r="N149" s="185" t="str">
        <f t="shared" si="14"/>
        <v>Solution Architect</v>
      </c>
      <c r="O149" t="str">
        <f t="shared" si="15"/>
        <v>Pandian Veluchamy</v>
      </c>
      <c r="P149" t="str" cm="1">
        <f t="array" ref="P149">INDEX(_xlfn.TEXTSPLIT(B149," "),3)</f>
        <v>USA</v>
      </c>
    </row>
    <row r="150" spans="1:16" x14ac:dyDescent="0.25">
      <c r="A150" s="33" t="s">
        <v>1153</v>
      </c>
      <c r="B150" s="33" t="s">
        <v>1419</v>
      </c>
      <c r="C150" s="33" t="s">
        <v>1451</v>
      </c>
      <c r="D150" s="33" t="s">
        <v>1452</v>
      </c>
      <c r="E150" s="33" t="s">
        <v>313</v>
      </c>
      <c r="F150" s="33" t="s">
        <v>1152</v>
      </c>
      <c r="H150" t="str">
        <f t="shared" si="16"/>
        <v>ERP Practice USA</v>
      </c>
      <c r="J150" t="str">
        <f t="shared" si="18"/>
        <v>ERP_Practice_USA</v>
      </c>
      <c r="K150" t="str">
        <f t="shared" si="13"/>
        <v>ERP_Practice_USASolution Architect</v>
      </c>
      <c r="M150" t="str">
        <f t="shared" si="17"/>
        <v>ERP_Practice_USA</v>
      </c>
      <c r="N150" s="185" t="str">
        <f t="shared" si="14"/>
        <v>Solution Architect</v>
      </c>
      <c r="O150" t="str">
        <f t="shared" si="15"/>
        <v>Matt Paine</v>
      </c>
      <c r="P150" t="str" cm="1">
        <f t="array" ref="P150">INDEX(_xlfn.TEXTSPLIT(B150," "),3)</f>
        <v>USA</v>
      </c>
    </row>
    <row r="151" spans="1:16" x14ac:dyDescent="0.25">
      <c r="A151" s="33" t="s">
        <v>1153</v>
      </c>
      <c r="B151" s="33" t="s">
        <v>1419</v>
      </c>
      <c r="C151" s="33" t="s">
        <v>1453</v>
      </c>
      <c r="D151" s="33" t="s">
        <v>1454</v>
      </c>
      <c r="E151" s="33" t="s">
        <v>272</v>
      </c>
      <c r="F151" s="33" t="s">
        <v>1152</v>
      </c>
      <c r="H151" t="str">
        <f t="shared" si="16"/>
        <v>ERP Practice USA</v>
      </c>
      <c r="J151" t="str">
        <f t="shared" si="18"/>
        <v>ERP_Practice_USA</v>
      </c>
      <c r="K151" t="str">
        <f t="shared" si="13"/>
        <v>ERP_Practice_USASr. Application Developer</v>
      </c>
      <c r="M151" t="str">
        <f t="shared" si="17"/>
        <v>ERP_Practice_USA</v>
      </c>
      <c r="N151" s="185" t="str">
        <f t="shared" si="14"/>
        <v>Sr. Application Developer</v>
      </c>
      <c r="O151" t="str">
        <f t="shared" si="15"/>
        <v>Subrahmanyam Bodapati</v>
      </c>
      <c r="P151" t="str" cm="1">
        <f t="array" ref="P151">INDEX(_xlfn.TEXTSPLIT(B151," "),3)</f>
        <v>USA</v>
      </c>
    </row>
    <row r="152" spans="1:16" x14ac:dyDescent="0.25">
      <c r="A152" s="33" t="s">
        <v>1153</v>
      </c>
      <c r="B152" s="33" t="s">
        <v>1419</v>
      </c>
      <c r="C152" s="33" t="s">
        <v>1455</v>
      </c>
      <c r="D152" s="33" t="s">
        <v>1456</v>
      </c>
      <c r="E152" s="33" t="s">
        <v>216</v>
      </c>
      <c r="F152" s="33" t="s">
        <v>1152</v>
      </c>
      <c r="H152" t="str">
        <f t="shared" si="16"/>
        <v>ERP Practice USA</v>
      </c>
      <c r="J152" t="str">
        <f t="shared" si="18"/>
        <v>ERP_Practice_USA</v>
      </c>
      <c r="K152" t="str">
        <f t="shared" si="13"/>
        <v>ERP_Practice_USAApplication Developer</v>
      </c>
      <c r="M152" t="str">
        <f t="shared" si="17"/>
        <v>ERP_Practice_USA</v>
      </c>
      <c r="N152" s="185" t="str">
        <f t="shared" si="14"/>
        <v>Application Developer</v>
      </c>
      <c r="O152" t="str">
        <f t="shared" si="15"/>
        <v>Salil Diskalkar</v>
      </c>
      <c r="P152" t="str" cm="1">
        <f t="array" ref="P152">INDEX(_xlfn.TEXTSPLIT(B152," "),3)</f>
        <v>USA</v>
      </c>
    </row>
    <row r="153" spans="1:16" x14ac:dyDescent="0.25">
      <c r="A153" s="33" t="s">
        <v>1153</v>
      </c>
      <c r="B153" s="33" t="s">
        <v>1419</v>
      </c>
      <c r="C153" s="33" t="s">
        <v>1457</v>
      </c>
      <c r="D153" s="33" t="s">
        <v>1458</v>
      </c>
      <c r="E153" s="33" t="s">
        <v>307</v>
      </c>
      <c r="F153" s="33" t="s">
        <v>1152</v>
      </c>
      <c r="H153" t="str">
        <f t="shared" si="16"/>
        <v>ERP Practice USA</v>
      </c>
      <c r="J153" t="str">
        <f t="shared" si="18"/>
        <v>ERP_Practice_USA</v>
      </c>
      <c r="K153" t="str">
        <f t="shared" si="13"/>
        <v>ERP_Practice_USAApplication Lead</v>
      </c>
      <c r="M153" t="str">
        <f t="shared" si="17"/>
        <v>ERP_Practice_USA</v>
      </c>
      <c r="N153" s="185" t="str">
        <f t="shared" si="14"/>
        <v>Application Lead</v>
      </c>
      <c r="O153" t="str">
        <f t="shared" si="15"/>
        <v>Muni Pullaganti</v>
      </c>
      <c r="P153" t="str" cm="1">
        <f t="array" ref="P153">INDEX(_xlfn.TEXTSPLIT(B153," "),3)</f>
        <v>USA</v>
      </c>
    </row>
    <row r="154" spans="1:16" x14ac:dyDescent="0.25">
      <c r="A154" s="33" t="s">
        <v>1153</v>
      </c>
      <c r="B154" s="33" t="s">
        <v>1419</v>
      </c>
      <c r="C154" s="33" t="s">
        <v>1459</v>
      </c>
      <c r="D154" s="33" t="s">
        <v>1460</v>
      </c>
      <c r="E154" s="33" t="s">
        <v>307</v>
      </c>
      <c r="F154" s="33" t="s">
        <v>1152</v>
      </c>
      <c r="H154" t="str">
        <f t="shared" si="16"/>
        <v>ERP Practice USA</v>
      </c>
      <c r="J154" t="str">
        <f t="shared" si="18"/>
        <v>ERP_Practice_USA</v>
      </c>
      <c r="K154" t="str">
        <f t="shared" si="13"/>
        <v>ERP_Practice_USAApplication Lead</v>
      </c>
      <c r="M154" t="str">
        <f t="shared" si="17"/>
        <v>ERP_Practice_USA</v>
      </c>
      <c r="N154" s="185" t="str">
        <f t="shared" si="14"/>
        <v>Application Lead</v>
      </c>
      <c r="O154" t="str">
        <f t="shared" si="15"/>
        <v>Tomer Sapir</v>
      </c>
      <c r="P154" t="str" cm="1">
        <f t="array" ref="P154">INDEX(_xlfn.TEXTSPLIT(B154," "),3)</f>
        <v>USA</v>
      </c>
    </row>
    <row r="155" spans="1:16" x14ac:dyDescent="0.25">
      <c r="A155" s="33" t="s">
        <v>1461</v>
      </c>
      <c r="B155" s="33" t="s">
        <v>1419</v>
      </c>
      <c r="C155" s="33" t="s">
        <v>1462</v>
      </c>
      <c r="D155" s="33" t="s">
        <v>1463</v>
      </c>
      <c r="E155" s="33" t="s">
        <v>307</v>
      </c>
      <c r="F155" s="33" t="s">
        <v>1152</v>
      </c>
      <c r="H155" t="str">
        <f t="shared" si="16"/>
        <v>ERP Practice USA</v>
      </c>
      <c r="J155" t="str">
        <f t="shared" si="18"/>
        <v>ERP_Practice_USA</v>
      </c>
      <c r="K155" t="str">
        <f t="shared" si="13"/>
        <v>ERP_Practice_USAApplication Lead</v>
      </c>
      <c r="M155" t="str">
        <f t="shared" si="17"/>
        <v>ERP_Practice_USA</v>
      </c>
      <c r="N155" s="185" t="str">
        <f t="shared" si="14"/>
        <v>Application Lead</v>
      </c>
      <c r="O155" t="str">
        <f t="shared" si="15"/>
        <v>Pamidimarri Shankar</v>
      </c>
      <c r="P155" t="str" cm="1">
        <f t="array" ref="P155">INDEX(_xlfn.TEXTSPLIT(B155," "),3)</f>
        <v>USA</v>
      </c>
    </row>
    <row r="156" spans="1:16" x14ac:dyDescent="0.25">
      <c r="A156" s="33" t="s">
        <v>1464</v>
      </c>
      <c r="B156" s="33" t="s">
        <v>1419</v>
      </c>
      <c r="C156" s="33" t="s">
        <v>1465</v>
      </c>
      <c r="D156" s="33" t="s">
        <v>1466</v>
      </c>
      <c r="E156" s="33" t="s">
        <v>307</v>
      </c>
      <c r="F156" s="33" t="s">
        <v>1152</v>
      </c>
      <c r="H156" t="str">
        <f t="shared" si="16"/>
        <v>ERP Practice USA</v>
      </c>
      <c r="J156" t="str">
        <f t="shared" si="18"/>
        <v>ERP_Practice_USA</v>
      </c>
      <c r="K156" t="str">
        <f t="shared" ref="K156:K218" si="19">_xlfn.CONCAT(J156,E156)</f>
        <v>ERP_Practice_USAApplication Lead</v>
      </c>
      <c r="M156" t="str">
        <f t="shared" si="17"/>
        <v>ERP_Practice_USA</v>
      </c>
      <c r="N156" s="185" t="str">
        <f t="shared" ref="N156:N218" si="20">E156</f>
        <v>Application Lead</v>
      </c>
      <c r="O156" t="str">
        <f t="shared" ref="O156:O218" si="21">_xlfn.CONCAT(C156," ",D156)</f>
        <v>Anil Ganipineni</v>
      </c>
      <c r="P156" t="str" cm="1">
        <f t="array" ref="P156">INDEX(_xlfn.TEXTSPLIT(B156," "),3)</f>
        <v>USA</v>
      </c>
    </row>
    <row r="157" spans="1:16" ht="30" x14ac:dyDescent="0.25">
      <c r="A157" s="33" t="s">
        <v>1131</v>
      </c>
      <c r="B157" s="33" t="s">
        <v>1467</v>
      </c>
      <c r="C157" s="33" t="s">
        <v>1468</v>
      </c>
      <c r="D157" s="33" t="s">
        <v>1469</v>
      </c>
      <c r="E157" s="33" t="s">
        <v>200</v>
      </c>
      <c r="F157" s="33" t="s">
        <v>1172</v>
      </c>
      <c r="H157" t="str">
        <f>SUBSTITUTE(SUBSTITUTE(B157,"Organizational Effectiveness","EPM"),"CPM","EPM")</f>
        <v>EPM Practice India</v>
      </c>
      <c r="J157" t="str">
        <f t="shared" si="18"/>
        <v>EPM_Practice_India</v>
      </c>
      <c r="K157" t="str">
        <f t="shared" si="19"/>
        <v>EPM_Practice_IndiaProject Manager</v>
      </c>
      <c r="M157" t="str">
        <f t="shared" si="17"/>
        <v>EPM_Practice_India</v>
      </c>
      <c r="N157" s="185" t="str">
        <f t="shared" si="20"/>
        <v>Project Manager</v>
      </c>
      <c r="O157" t="str">
        <f t="shared" si="21"/>
        <v>Arnold Infant</v>
      </c>
      <c r="P157" t="str" cm="1">
        <f t="array" ref="P157">INDEX(_xlfn.TEXTSPLIT(B157," "),3)</f>
        <v>Practice</v>
      </c>
    </row>
    <row r="158" spans="1:16" ht="30" x14ac:dyDescent="0.25">
      <c r="A158" s="33" t="s">
        <v>1131</v>
      </c>
      <c r="B158" s="33" t="s">
        <v>1467</v>
      </c>
      <c r="C158" s="33" t="s">
        <v>1470</v>
      </c>
      <c r="D158" s="33" t="s">
        <v>1471</v>
      </c>
      <c r="E158" s="33" t="s">
        <v>95</v>
      </c>
      <c r="F158" s="33" t="s">
        <v>1172</v>
      </c>
      <c r="H158" t="str">
        <f t="shared" ref="H158:H220" si="22">SUBSTITUTE(SUBSTITUTE(B158,"Organizational Effectiveness","EPM"),"CPM","EPM")</f>
        <v>EPM Practice India</v>
      </c>
      <c r="J158" t="str">
        <f t="shared" si="18"/>
        <v>EPM_Practice_India</v>
      </c>
      <c r="K158" t="str">
        <f t="shared" si="19"/>
        <v>EPM_Practice_IndiaSr. Project Manager</v>
      </c>
      <c r="M158" t="str">
        <f t="shared" si="17"/>
        <v>EPM_Practice_India</v>
      </c>
      <c r="N158" s="185" t="str">
        <f t="shared" si="20"/>
        <v>Sr. Project Manager</v>
      </c>
      <c r="O158" t="str">
        <f t="shared" si="21"/>
        <v>Anju Kumari Vaishnav</v>
      </c>
      <c r="P158" t="str" cm="1">
        <f t="array" ref="P158">INDEX(_xlfn.TEXTSPLIT(B158," "),3)</f>
        <v>Practice</v>
      </c>
    </row>
    <row r="159" spans="1:16" ht="30" x14ac:dyDescent="0.25">
      <c r="A159" s="33" t="s">
        <v>1131</v>
      </c>
      <c r="B159" s="33" t="s">
        <v>1467</v>
      </c>
      <c r="C159" s="33" t="s">
        <v>1472</v>
      </c>
      <c r="D159" s="33" t="s">
        <v>1473</v>
      </c>
      <c r="E159" s="33" t="s">
        <v>95</v>
      </c>
      <c r="F159" s="33" t="s">
        <v>1172</v>
      </c>
      <c r="H159" t="str">
        <f t="shared" si="22"/>
        <v>EPM Practice India</v>
      </c>
      <c r="J159" t="str">
        <f t="shared" si="18"/>
        <v>EPM_Practice_India</v>
      </c>
      <c r="K159" t="str">
        <f t="shared" si="19"/>
        <v>EPM_Practice_IndiaSr. Project Manager</v>
      </c>
      <c r="M159" t="str">
        <f t="shared" si="17"/>
        <v>EPM_Practice_India</v>
      </c>
      <c r="N159" s="185" t="str">
        <f t="shared" si="20"/>
        <v>Sr. Project Manager</v>
      </c>
      <c r="O159" t="str">
        <f t="shared" si="21"/>
        <v>Surabhi Rai</v>
      </c>
      <c r="P159" t="str" cm="1">
        <f t="array" ref="P159">INDEX(_xlfn.TEXTSPLIT(B159," "),3)</f>
        <v>Practice</v>
      </c>
    </row>
    <row r="160" spans="1:16" ht="30" x14ac:dyDescent="0.25">
      <c r="A160" s="33" t="s">
        <v>1131</v>
      </c>
      <c r="B160" s="33" t="s">
        <v>1474</v>
      </c>
      <c r="C160" s="33" t="s">
        <v>1475</v>
      </c>
      <c r="D160" s="33" t="s">
        <v>1476</v>
      </c>
      <c r="E160" s="33" t="s">
        <v>407</v>
      </c>
      <c r="F160" s="33" t="s">
        <v>1135</v>
      </c>
      <c r="H160" t="str">
        <f t="shared" si="22"/>
        <v>EPM Practice USA</v>
      </c>
      <c r="J160" t="str">
        <f t="shared" si="18"/>
        <v>EPM_Practice_USA</v>
      </c>
      <c r="K160" t="str">
        <f t="shared" si="19"/>
        <v>EPM_Practice_USAProject Coordinator</v>
      </c>
      <c r="M160" t="str">
        <f t="shared" si="17"/>
        <v>EPM_Practice_USA</v>
      </c>
      <c r="N160" s="185" t="str">
        <f t="shared" si="20"/>
        <v>Project Coordinator</v>
      </c>
      <c r="O160" t="str">
        <f t="shared" si="21"/>
        <v>Martha L Paniagua-Fowler</v>
      </c>
      <c r="P160" t="str" cm="1">
        <f t="array" ref="P160">INDEX(_xlfn.TEXTSPLIT(B160," "),3)</f>
        <v>Practice</v>
      </c>
    </row>
    <row r="161" spans="1:16" ht="30" x14ac:dyDescent="0.25">
      <c r="A161" s="33" t="s">
        <v>1131</v>
      </c>
      <c r="B161" s="33" t="s">
        <v>1474</v>
      </c>
      <c r="C161" s="33" t="s">
        <v>1477</v>
      </c>
      <c r="D161" s="33" t="s">
        <v>1478</v>
      </c>
      <c r="E161" s="33" t="s">
        <v>200</v>
      </c>
      <c r="F161" s="33" t="s">
        <v>1135</v>
      </c>
      <c r="H161" t="str">
        <f t="shared" si="22"/>
        <v>EPM Practice USA</v>
      </c>
      <c r="J161" t="str">
        <f t="shared" si="18"/>
        <v>EPM_Practice_USA</v>
      </c>
      <c r="K161" t="str">
        <f t="shared" si="19"/>
        <v>EPM_Practice_USAProject Manager</v>
      </c>
      <c r="M161" t="str">
        <f t="shared" si="17"/>
        <v>EPM_Practice_USA</v>
      </c>
      <c r="N161" s="185" t="str">
        <f t="shared" si="20"/>
        <v>Project Manager</v>
      </c>
      <c r="O161" t="str">
        <f t="shared" si="21"/>
        <v>Ravirajan S Munnirpallam</v>
      </c>
      <c r="P161" t="str" cm="1">
        <f t="array" ref="P161">INDEX(_xlfn.TEXTSPLIT(B161," "),3)</f>
        <v>Practice</v>
      </c>
    </row>
    <row r="162" spans="1:16" ht="30" x14ac:dyDescent="0.25">
      <c r="A162" s="33" t="s">
        <v>1131</v>
      </c>
      <c r="B162" s="33" t="s">
        <v>1474</v>
      </c>
      <c r="C162" s="33" t="s">
        <v>1479</v>
      </c>
      <c r="D162" s="33" t="s">
        <v>1480</v>
      </c>
      <c r="E162" s="33" t="s">
        <v>95</v>
      </c>
      <c r="F162" s="33" t="s">
        <v>1135</v>
      </c>
      <c r="H162" t="str">
        <f t="shared" si="22"/>
        <v>EPM Practice USA</v>
      </c>
      <c r="J162" t="str">
        <f t="shared" si="18"/>
        <v>EPM_Practice_USA</v>
      </c>
      <c r="K162" t="str">
        <f t="shared" si="19"/>
        <v>EPM_Practice_USASr. Project Manager</v>
      </c>
      <c r="M162" t="str">
        <f t="shared" si="17"/>
        <v>EPM_Practice_USA</v>
      </c>
      <c r="N162" s="185" t="str">
        <f t="shared" si="20"/>
        <v>Sr. Project Manager</v>
      </c>
      <c r="O162" t="str">
        <f t="shared" si="21"/>
        <v>Nickolas Devoe</v>
      </c>
      <c r="P162" t="str" cm="1">
        <f t="array" ref="P162">INDEX(_xlfn.TEXTSPLIT(B162," "),3)</f>
        <v>Practice</v>
      </c>
    </row>
    <row r="163" spans="1:16" ht="30" x14ac:dyDescent="0.25">
      <c r="A163" s="33" t="s">
        <v>1131</v>
      </c>
      <c r="B163" s="33" t="s">
        <v>1474</v>
      </c>
      <c r="C163" s="33" t="s">
        <v>1481</v>
      </c>
      <c r="D163" s="33" t="s">
        <v>1482</v>
      </c>
      <c r="E163" s="33" t="s">
        <v>411</v>
      </c>
      <c r="F163" s="33" t="s">
        <v>1135</v>
      </c>
      <c r="H163" t="str">
        <f t="shared" si="22"/>
        <v>EPM Practice USA</v>
      </c>
      <c r="J163" t="str">
        <f t="shared" si="18"/>
        <v>EPM_Practice_USA</v>
      </c>
      <c r="K163" t="str">
        <f t="shared" si="19"/>
        <v>EPM_Practice_USASr. Change Manager</v>
      </c>
      <c r="M163" t="str">
        <f t="shared" si="17"/>
        <v>EPM_Practice_USA</v>
      </c>
      <c r="N163" s="185" t="str">
        <f t="shared" si="20"/>
        <v>Sr. Change Manager</v>
      </c>
      <c r="O163" t="str">
        <f t="shared" si="21"/>
        <v>Melissa O'Blenis</v>
      </c>
      <c r="P163" t="str" cm="1">
        <f t="array" ref="P163">INDEX(_xlfn.TEXTSPLIT(B163," "),3)</f>
        <v>Practice</v>
      </c>
    </row>
    <row r="164" spans="1:16" ht="30" x14ac:dyDescent="0.25">
      <c r="A164" s="33" t="s">
        <v>1131</v>
      </c>
      <c r="B164" s="33" t="s">
        <v>1474</v>
      </c>
      <c r="C164" s="33" t="s">
        <v>1483</v>
      </c>
      <c r="D164" s="33" t="s">
        <v>1484</v>
      </c>
      <c r="E164" s="33" t="s">
        <v>95</v>
      </c>
      <c r="F164" s="33" t="s">
        <v>1135</v>
      </c>
      <c r="H164" t="str">
        <f t="shared" si="22"/>
        <v>EPM Practice USA</v>
      </c>
      <c r="J164" t="str">
        <f t="shared" si="18"/>
        <v>EPM_Practice_USA</v>
      </c>
      <c r="K164" t="str">
        <f t="shared" si="19"/>
        <v>EPM_Practice_USASr. Project Manager</v>
      </c>
      <c r="M164" t="str">
        <f t="shared" si="17"/>
        <v>EPM_Practice_USA</v>
      </c>
      <c r="N164" s="185" t="str">
        <f t="shared" si="20"/>
        <v>Sr. Project Manager</v>
      </c>
      <c r="O164" t="str">
        <f t="shared" si="21"/>
        <v>Shanka Wickramasinghe</v>
      </c>
      <c r="P164" t="str" cm="1">
        <f t="array" ref="P164">INDEX(_xlfn.TEXTSPLIT(B164," "),3)</f>
        <v>Practice</v>
      </c>
    </row>
    <row r="165" spans="1:16" ht="30" x14ac:dyDescent="0.25">
      <c r="A165" s="33" t="s">
        <v>1131</v>
      </c>
      <c r="B165" s="33" t="s">
        <v>1474</v>
      </c>
      <c r="C165" s="33" t="s">
        <v>1485</v>
      </c>
      <c r="D165" s="33" t="s">
        <v>1486</v>
      </c>
      <c r="E165" s="33" t="s">
        <v>358</v>
      </c>
      <c r="F165" s="33" t="s">
        <v>1135</v>
      </c>
      <c r="H165" t="str">
        <f t="shared" si="22"/>
        <v>EPM Practice USA</v>
      </c>
      <c r="J165" t="str">
        <f t="shared" si="18"/>
        <v>EPM_Practice_USA</v>
      </c>
      <c r="K165" t="str">
        <f t="shared" si="19"/>
        <v>EPM_Practice_USAPrincipal</v>
      </c>
      <c r="M165" t="str">
        <f t="shared" si="17"/>
        <v>EPM_Practice_USA</v>
      </c>
      <c r="N165" s="185" t="str">
        <f t="shared" si="20"/>
        <v>Principal</v>
      </c>
      <c r="O165" t="str">
        <f t="shared" si="21"/>
        <v>Maritza Armagan</v>
      </c>
      <c r="P165" t="str" cm="1">
        <f t="array" ref="P165">INDEX(_xlfn.TEXTSPLIT(B165," "),3)</f>
        <v>Practice</v>
      </c>
    </row>
    <row r="166" spans="1:16" ht="30" x14ac:dyDescent="0.25">
      <c r="A166" s="33" t="s">
        <v>1131</v>
      </c>
      <c r="B166" s="33" t="s">
        <v>1474</v>
      </c>
      <c r="C166" s="33" t="s">
        <v>1487</v>
      </c>
      <c r="D166" s="33" t="s">
        <v>1488</v>
      </c>
      <c r="E166" s="33" t="s">
        <v>95</v>
      </c>
      <c r="F166" s="33" t="s">
        <v>1135</v>
      </c>
      <c r="H166" t="str">
        <f t="shared" si="22"/>
        <v>EPM Practice USA</v>
      </c>
      <c r="J166" t="str">
        <f t="shared" si="18"/>
        <v>EPM_Practice_USA</v>
      </c>
      <c r="K166" t="str">
        <f t="shared" si="19"/>
        <v>EPM_Practice_USASr. Project Manager</v>
      </c>
      <c r="M166" t="str">
        <f t="shared" si="17"/>
        <v>EPM_Practice_USA</v>
      </c>
      <c r="N166" s="185" t="str">
        <f t="shared" si="20"/>
        <v>Sr. Project Manager</v>
      </c>
      <c r="O166" t="str">
        <f t="shared" si="21"/>
        <v>Andrea E Anderson</v>
      </c>
      <c r="P166" t="str" cm="1">
        <f t="array" ref="P166">INDEX(_xlfn.TEXTSPLIT(B166," "),3)</f>
        <v>Practice</v>
      </c>
    </row>
    <row r="167" spans="1:16" x14ac:dyDescent="0.25">
      <c r="A167" s="33" t="s">
        <v>1131</v>
      </c>
      <c r="B167" s="33" t="s">
        <v>1489</v>
      </c>
      <c r="C167" s="33" t="s">
        <v>1490</v>
      </c>
      <c r="D167" s="33" t="s">
        <v>1491</v>
      </c>
      <c r="E167" s="33" t="s">
        <v>200</v>
      </c>
      <c r="F167" s="33" t="s">
        <v>1135</v>
      </c>
      <c r="H167" t="str">
        <f t="shared" si="22"/>
        <v>PS Practice USA</v>
      </c>
      <c r="J167" t="str">
        <f t="shared" si="18"/>
        <v>PS_Practice_USA</v>
      </c>
      <c r="K167" t="str">
        <f t="shared" si="19"/>
        <v>PS_Practice_USAProject Manager</v>
      </c>
      <c r="M167" t="str">
        <f t="shared" si="17"/>
        <v>PS_Practice_USA</v>
      </c>
      <c r="N167" s="185" t="str">
        <f t="shared" si="20"/>
        <v>Project Manager</v>
      </c>
      <c r="O167" t="str">
        <f t="shared" si="21"/>
        <v>Anastacia Weaver</v>
      </c>
      <c r="P167" t="str" cm="1">
        <f t="array" ref="P167">INDEX(_xlfn.TEXTSPLIT(B167," "),3)</f>
        <v>USA</v>
      </c>
    </row>
    <row r="168" spans="1:16" x14ac:dyDescent="0.25">
      <c r="A168" s="33" t="s">
        <v>1131</v>
      </c>
      <c r="B168" s="33" t="s">
        <v>1489</v>
      </c>
      <c r="C168" s="33" t="s">
        <v>1492</v>
      </c>
      <c r="D168" s="33" t="s">
        <v>1493</v>
      </c>
      <c r="E168" s="33" t="s">
        <v>407</v>
      </c>
      <c r="F168" s="33" t="s">
        <v>1135</v>
      </c>
      <c r="H168" t="str">
        <f t="shared" si="22"/>
        <v>PS Practice USA</v>
      </c>
      <c r="J168" t="str">
        <f t="shared" si="18"/>
        <v>PS_Practice_USA</v>
      </c>
      <c r="K168" t="str">
        <f t="shared" si="19"/>
        <v>PS_Practice_USAProject Coordinator</v>
      </c>
      <c r="M168" t="str">
        <f t="shared" si="17"/>
        <v>PS_Practice_USA</v>
      </c>
      <c r="N168" s="185" t="str">
        <f t="shared" si="20"/>
        <v>Project Coordinator</v>
      </c>
      <c r="O168" t="str">
        <f t="shared" si="21"/>
        <v>Ian Perrin</v>
      </c>
      <c r="P168" t="str" cm="1">
        <f t="array" ref="P168">INDEX(_xlfn.TEXTSPLIT(B168," "),3)</f>
        <v>USA</v>
      </c>
    </row>
    <row r="169" spans="1:16" x14ac:dyDescent="0.25">
      <c r="A169" s="33" t="s">
        <v>1131</v>
      </c>
      <c r="B169" s="33" t="s">
        <v>1489</v>
      </c>
      <c r="C169" s="33" t="s">
        <v>1494</v>
      </c>
      <c r="D169" s="33" t="s">
        <v>1495</v>
      </c>
      <c r="E169" s="33" t="s">
        <v>407</v>
      </c>
      <c r="F169" s="33" t="s">
        <v>1135</v>
      </c>
      <c r="H169" t="str">
        <f t="shared" si="22"/>
        <v>PS Practice USA</v>
      </c>
      <c r="J169" t="str">
        <f t="shared" si="18"/>
        <v>PS_Practice_USA</v>
      </c>
      <c r="K169" t="str">
        <f t="shared" si="19"/>
        <v>PS_Practice_USAProject Coordinator</v>
      </c>
      <c r="M169" t="str">
        <f t="shared" si="17"/>
        <v>PS_Practice_USA</v>
      </c>
      <c r="N169" s="185" t="str">
        <f t="shared" si="20"/>
        <v>Project Coordinator</v>
      </c>
      <c r="O169" t="str">
        <f t="shared" si="21"/>
        <v>Asia A Carter</v>
      </c>
      <c r="P169" t="str" cm="1">
        <f t="array" ref="P169">INDEX(_xlfn.TEXTSPLIT(B169," "),3)</f>
        <v>USA</v>
      </c>
    </row>
    <row r="170" spans="1:16" x14ac:dyDescent="0.25">
      <c r="A170" s="33" t="s">
        <v>1131</v>
      </c>
      <c r="B170" s="33" t="s">
        <v>1489</v>
      </c>
      <c r="C170" s="33" t="s">
        <v>1496</v>
      </c>
      <c r="D170" s="33" t="s">
        <v>1497</v>
      </c>
      <c r="E170" s="33" t="s">
        <v>195</v>
      </c>
      <c r="F170" s="33" t="s">
        <v>1135</v>
      </c>
      <c r="H170" t="str">
        <f t="shared" si="22"/>
        <v>PS Practice USA</v>
      </c>
      <c r="J170" t="str">
        <f t="shared" si="18"/>
        <v>PS_Practice_USA</v>
      </c>
      <c r="K170" t="str">
        <f t="shared" si="19"/>
        <v>PS_Practice_USAProgram Manager</v>
      </c>
      <c r="M170" t="str">
        <f t="shared" si="17"/>
        <v>PS_Practice_USA</v>
      </c>
      <c r="N170" s="185" t="str">
        <f t="shared" si="20"/>
        <v>Program Manager</v>
      </c>
      <c r="O170" t="str">
        <f t="shared" si="21"/>
        <v>George McClelland</v>
      </c>
      <c r="P170" t="str" cm="1">
        <f t="array" ref="P170">INDEX(_xlfn.TEXTSPLIT(B170," "),3)</f>
        <v>USA</v>
      </c>
    </row>
    <row r="171" spans="1:16" x14ac:dyDescent="0.25">
      <c r="A171" s="33" t="s">
        <v>1131</v>
      </c>
      <c r="B171" s="33" t="s">
        <v>1489</v>
      </c>
      <c r="C171" s="33" t="s">
        <v>1296</v>
      </c>
      <c r="D171" s="33" t="s">
        <v>1498</v>
      </c>
      <c r="E171" s="33" t="s">
        <v>421</v>
      </c>
      <c r="F171" s="33" t="s">
        <v>1135</v>
      </c>
      <c r="H171" t="str">
        <f t="shared" si="22"/>
        <v>PS Practice USA</v>
      </c>
      <c r="J171" t="str">
        <f t="shared" si="18"/>
        <v>PS_Practice_USA</v>
      </c>
      <c r="K171" t="str">
        <f t="shared" si="19"/>
        <v>PS_Practice_USASr. Program Manager</v>
      </c>
      <c r="M171" t="str">
        <f t="shared" si="17"/>
        <v>PS_Practice_USA</v>
      </c>
      <c r="N171" s="185" t="str">
        <f t="shared" si="20"/>
        <v>Sr. Program Manager</v>
      </c>
      <c r="O171" t="str">
        <f t="shared" si="21"/>
        <v>Christopher Couture</v>
      </c>
      <c r="P171" t="str" cm="1">
        <f t="array" ref="P171">INDEX(_xlfn.TEXTSPLIT(B171," "),3)</f>
        <v>USA</v>
      </c>
    </row>
    <row r="172" spans="1:16" x14ac:dyDescent="0.25">
      <c r="A172" s="33" t="s">
        <v>1131</v>
      </c>
      <c r="B172" s="33" t="s">
        <v>1489</v>
      </c>
      <c r="C172" s="33" t="s">
        <v>1296</v>
      </c>
      <c r="D172" s="33" t="s">
        <v>1499</v>
      </c>
      <c r="E172" s="33" t="s">
        <v>241</v>
      </c>
      <c r="F172" s="33" t="s">
        <v>1135</v>
      </c>
      <c r="H172" t="str">
        <f t="shared" si="22"/>
        <v>PS Practice USA</v>
      </c>
      <c r="J172" t="str">
        <f t="shared" si="18"/>
        <v>PS_Practice_USA</v>
      </c>
      <c r="K172" t="str">
        <f t="shared" si="19"/>
        <v>PS_Practice_USASr. Solution Architect</v>
      </c>
      <c r="M172" t="str">
        <f t="shared" si="17"/>
        <v>PS_Practice_USA</v>
      </c>
      <c r="N172" s="185" t="str">
        <f t="shared" si="20"/>
        <v>Sr. Solution Architect</v>
      </c>
      <c r="O172" t="str">
        <f t="shared" si="21"/>
        <v>Christopher Tilden</v>
      </c>
      <c r="P172" t="str" cm="1">
        <f t="array" ref="P172">INDEX(_xlfn.TEXTSPLIT(B172," "),3)</f>
        <v>USA</v>
      </c>
    </row>
    <row r="173" spans="1:16" x14ac:dyDescent="0.25">
      <c r="A173" s="33" t="s">
        <v>1149</v>
      </c>
      <c r="B173" s="33" t="s">
        <v>1489</v>
      </c>
      <c r="C173" s="33" t="s">
        <v>1500</v>
      </c>
      <c r="D173" s="33" t="s">
        <v>1501</v>
      </c>
      <c r="E173" s="33" t="s">
        <v>95</v>
      </c>
      <c r="F173" s="33" t="s">
        <v>1152</v>
      </c>
      <c r="H173" t="str">
        <f t="shared" si="22"/>
        <v>PS Practice USA</v>
      </c>
      <c r="J173" t="str">
        <f t="shared" si="18"/>
        <v>PS_Practice_USA</v>
      </c>
      <c r="K173" t="str">
        <f t="shared" si="19"/>
        <v>PS_Practice_USASr. Project Manager</v>
      </c>
      <c r="M173" t="str">
        <f t="shared" si="17"/>
        <v>PS_Practice_USA</v>
      </c>
      <c r="N173" s="185" t="str">
        <f t="shared" si="20"/>
        <v>Sr. Project Manager</v>
      </c>
      <c r="O173" t="str">
        <f t="shared" si="21"/>
        <v>Tanushree Joshi</v>
      </c>
      <c r="P173" t="str" cm="1">
        <f t="array" ref="P173">INDEX(_xlfn.TEXTSPLIT(B173," "),3)</f>
        <v>USA</v>
      </c>
    </row>
    <row r="174" spans="1:16" x14ac:dyDescent="0.25">
      <c r="A174" s="33" t="s">
        <v>1502</v>
      </c>
      <c r="B174" s="33" t="s">
        <v>1489</v>
      </c>
      <c r="C174" s="33" t="s">
        <v>1503</v>
      </c>
      <c r="D174" s="33" t="s">
        <v>1504</v>
      </c>
      <c r="E174" s="33" t="s">
        <v>95</v>
      </c>
      <c r="F174" s="33" t="s">
        <v>1152</v>
      </c>
      <c r="H174" t="str">
        <f t="shared" si="22"/>
        <v>PS Practice USA</v>
      </c>
      <c r="J174" t="str">
        <f t="shared" si="18"/>
        <v>PS_Practice_USA</v>
      </c>
      <c r="K174" t="str">
        <f t="shared" si="19"/>
        <v>PS_Practice_USASr. Project Manager</v>
      </c>
      <c r="M174" t="str">
        <f t="shared" si="17"/>
        <v>PS_Practice_USA</v>
      </c>
      <c r="N174" s="185" t="str">
        <f t="shared" si="20"/>
        <v>Sr. Project Manager</v>
      </c>
      <c r="O174" t="str">
        <f t="shared" si="21"/>
        <v>Jeneen McNally</v>
      </c>
      <c r="P174" t="str" cm="1">
        <f t="array" ref="P174">INDEX(_xlfn.TEXTSPLIT(B174," "),3)</f>
        <v>USA</v>
      </c>
    </row>
    <row r="175" spans="1:16" x14ac:dyDescent="0.25">
      <c r="A175" s="33" t="s">
        <v>1131</v>
      </c>
      <c r="B175" s="33" t="s">
        <v>1505</v>
      </c>
      <c r="C175" s="33" t="s">
        <v>1506</v>
      </c>
      <c r="D175" s="33" t="s">
        <v>1507</v>
      </c>
      <c r="E175" s="33" t="s">
        <v>427</v>
      </c>
      <c r="F175" s="33" t="s">
        <v>1172</v>
      </c>
      <c r="H175" t="str">
        <f t="shared" si="22"/>
        <v>TS Practice India</v>
      </c>
      <c r="J175" t="str">
        <f t="shared" si="18"/>
        <v>TS_Practice_India</v>
      </c>
      <c r="K175" t="str">
        <f t="shared" si="19"/>
        <v>TS_Practice_IndiaBusiness/Data Analyst</v>
      </c>
      <c r="M175" t="str">
        <f t="shared" si="17"/>
        <v>TS_Practice_India</v>
      </c>
      <c r="N175" s="185" t="str">
        <f t="shared" si="20"/>
        <v>Business/Data Analyst</v>
      </c>
      <c r="O175" t="str">
        <f t="shared" si="21"/>
        <v>Surendhar Kumar Paramananthan</v>
      </c>
      <c r="P175" t="str" cm="1">
        <f t="array" ref="P175">INDEX(_xlfn.TEXTSPLIT(B175," "),3)</f>
        <v>India</v>
      </c>
    </row>
    <row r="176" spans="1:16" x14ac:dyDescent="0.25">
      <c r="A176" s="33" t="s">
        <v>1131</v>
      </c>
      <c r="B176" s="33" t="s">
        <v>1505</v>
      </c>
      <c r="C176" s="33" t="s">
        <v>1508</v>
      </c>
      <c r="D176" s="33" t="s">
        <v>1509</v>
      </c>
      <c r="E176" s="33" t="s">
        <v>429</v>
      </c>
      <c r="F176" s="33" t="s">
        <v>1172</v>
      </c>
      <c r="H176" t="str">
        <f t="shared" si="22"/>
        <v>TS Practice India</v>
      </c>
      <c r="J176" t="str">
        <f t="shared" si="18"/>
        <v>TS_Practice_India</v>
      </c>
      <c r="K176" t="str">
        <f t="shared" si="19"/>
        <v>TS_Practice_IndiaDevOps Engineer</v>
      </c>
      <c r="M176" t="str">
        <f t="shared" si="17"/>
        <v>TS_Practice_India</v>
      </c>
      <c r="N176" s="185" t="str">
        <f t="shared" si="20"/>
        <v>DevOps Engineer</v>
      </c>
      <c r="O176" t="str">
        <f t="shared" si="21"/>
        <v>Pooja Parmeshwar Dollin</v>
      </c>
      <c r="P176" t="str" cm="1">
        <f t="array" ref="P176">INDEX(_xlfn.TEXTSPLIT(B176," "),3)</f>
        <v>India</v>
      </c>
    </row>
    <row r="177" spans="1:16" x14ac:dyDescent="0.25">
      <c r="A177" s="33" t="s">
        <v>1131</v>
      </c>
      <c r="B177" s="33" t="s">
        <v>1505</v>
      </c>
      <c r="C177" s="33" t="s">
        <v>1510</v>
      </c>
      <c r="D177" s="33" t="s">
        <v>1278</v>
      </c>
      <c r="E177" s="33" t="s">
        <v>427</v>
      </c>
      <c r="F177" s="33" t="s">
        <v>1172</v>
      </c>
      <c r="H177" t="str">
        <f t="shared" si="22"/>
        <v>TS Practice India</v>
      </c>
      <c r="J177" t="str">
        <f t="shared" si="18"/>
        <v>TS_Practice_India</v>
      </c>
      <c r="K177" t="str">
        <f t="shared" si="19"/>
        <v>TS_Practice_IndiaBusiness/Data Analyst</v>
      </c>
      <c r="M177" t="str">
        <f t="shared" si="17"/>
        <v>TS_Practice_India</v>
      </c>
      <c r="N177" s="185" t="str">
        <f t="shared" si="20"/>
        <v>Business/Data Analyst</v>
      </c>
      <c r="O177" t="str">
        <f t="shared" si="21"/>
        <v>Iti Agrawal</v>
      </c>
      <c r="P177" t="str" cm="1">
        <f t="array" ref="P177">INDEX(_xlfn.TEXTSPLIT(B177," "),3)</f>
        <v>India</v>
      </c>
    </row>
    <row r="178" spans="1:16" x14ac:dyDescent="0.25">
      <c r="A178" s="33" t="s">
        <v>1131</v>
      </c>
      <c r="B178" s="33" t="s">
        <v>1505</v>
      </c>
      <c r="C178" s="33" t="s">
        <v>1511</v>
      </c>
      <c r="D178" s="33" t="s">
        <v>1512</v>
      </c>
      <c r="E178" s="33" t="s">
        <v>432</v>
      </c>
      <c r="F178" s="33" t="s">
        <v>1172</v>
      </c>
      <c r="H178" t="str">
        <f t="shared" si="22"/>
        <v>TS Practice India</v>
      </c>
      <c r="J178" t="str">
        <f t="shared" si="18"/>
        <v>TS_Practice_India</v>
      </c>
      <c r="K178" t="str">
        <f t="shared" si="19"/>
        <v>TS_Practice_IndiaDeveloper</v>
      </c>
      <c r="M178" t="str">
        <f t="shared" si="17"/>
        <v>TS_Practice_India</v>
      </c>
      <c r="N178" s="185" t="str">
        <f t="shared" si="20"/>
        <v>Developer</v>
      </c>
      <c r="O178" t="str">
        <f t="shared" si="21"/>
        <v>Rajni Harsha</v>
      </c>
      <c r="P178" t="str" cm="1">
        <f t="array" ref="P178">INDEX(_xlfn.TEXTSPLIT(B178," "),3)</f>
        <v>India</v>
      </c>
    </row>
    <row r="179" spans="1:16" x14ac:dyDescent="0.25">
      <c r="A179" s="33" t="s">
        <v>1131</v>
      </c>
      <c r="B179" s="33" t="s">
        <v>1505</v>
      </c>
      <c r="C179" s="33" t="s">
        <v>1513</v>
      </c>
      <c r="D179" s="33" t="s">
        <v>1514</v>
      </c>
      <c r="E179" s="33" t="s">
        <v>432</v>
      </c>
      <c r="F179" s="33" t="s">
        <v>1172</v>
      </c>
      <c r="H179" t="str">
        <f t="shared" si="22"/>
        <v>TS Practice India</v>
      </c>
      <c r="J179" t="str">
        <f t="shared" si="18"/>
        <v>TS_Practice_India</v>
      </c>
      <c r="K179" t="str">
        <f t="shared" si="19"/>
        <v>TS_Practice_IndiaDeveloper</v>
      </c>
      <c r="M179" t="str">
        <f t="shared" si="17"/>
        <v>TS_Practice_India</v>
      </c>
      <c r="N179" s="185" t="str">
        <f t="shared" si="20"/>
        <v>Developer</v>
      </c>
      <c r="O179" t="str">
        <f t="shared" si="21"/>
        <v>Sowmiya Ramesh</v>
      </c>
      <c r="P179" t="str" cm="1">
        <f t="array" ref="P179">INDEX(_xlfn.TEXTSPLIT(B179," "),3)</f>
        <v>India</v>
      </c>
    </row>
    <row r="180" spans="1:16" x14ac:dyDescent="0.25">
      <c r="A180" s="33" t="s">
        <v>1131</v>
      </c>
      <c r="B180" s="33" t="s">
        <v>1505</v>
      </c>
      <c r="C180" s="33" t="s">
        <v>1515</v>
      </c>
      <c r="D180" s="33" t="s">
        <v>1516</v>
      </c>
      <c r="E180" s="33" t="s">
        <v>230</v>
      </c>
      <c r="F180" s="33" t="s">
        <v>1172</v>
      </c>
      <c r="H180" t="str">
        <f t="shared" si="22"/>
        <v>TS Practice India</v>
      </c>
      <c r="J180" t="str">
        <f t="shared" si="18"/>
        <v>TS_Practice_India</v>
      </c>
      <c r="K180" t="str">
        <f t="shared" si="19"/>
        <v>TS_Practice_IndiaSr. Software Engineer</v>
      </c>
      <c r="M180" t="str">
        <f t="shared" si="17"/>
        <v>TS_Practice_India</v>
      </c>
      <c r="N180" s="185" t="str">
        <f t="shared" si="20"/>
        <v>Sr. Software Engineer</v>
      </c>
      <c r="O180" t="str">
        <f t="shared" si="21"/>
        <v>ShubhamSaurabh Choudhary</v>
      </c>
      <c r="P180" t="str" cm="1">
        <f t="array" ref="P180">INDEX(_xlfn.TEXTSPLIT(B180," "),3)</f>
        <v>India</v>
      </c>
    </row>
    <row r="181" spans="1:16" x14ac:dyDescent="0.25">
      <c r="A181" s="33" t="s">
        <v>1131</v>
      </c>
      <c r="B181" s="33" t="s">
        <v>1505</v>
      </c>
      <c r="C181" s="33" t="s">
        <v>1517</v>
      </c>
      <c r="D181" s="33" t="s">
        <v>1518</v>
      </c>
      <c r="E181" s="33" t="s">
        <v>313</v>
      </c>
      <c r="F181" s="33" t="s">
        <v>1172</v>
      </c>
      <c r="H181" t="str">
        <f t="shared" si="22"/>
        <v>TS Practice India</v>
      </c>
      <c r="J181" t="str">
        <f t="shared" si="18"/>
        <v>TS_Practice_India</v>
      </c>
      <c r="K181" t="str">
        <f t="shared" si="19"/>
        <v>TS_Practice_IndiaSolution Architect</v>
      </c>
      <c r="M181" t="str">
        <f t="shared" si="17"/>
        <v>TS_Practice_India</v>
      </c>
      <c r="N181" s="185" t="str">
        <f t="shared" si="20"/>
        <v>Solution Architect</v>
      </c>
      <c r="O181" t="str">
        <f t="shared" si="21"/>
        <v>Srinivas Rao Oggi</v>
      </c>
      <c r="P181" t="str" cm="1">
        <f t="array" ref="P181">INDEX(_xlfn.TEXTSPLIT(B181," "),3)</f>
        <v>India</v>
      </c>
    </row>
    <row r="182" spans="1:16" x14ac:dyDescent="0.25">
      <c r="A182" s="33" t="s">
        <v>1131</v>
      </c>
      <c r="B182" s="33" t="s">
        <v>1505</v>
      </c>
      <c r="C182" s="33" t="s">
        <v>1519</v>
      </c>
      <c r="D182" s="33" t="s">
        <v>1520</v>
      </c>
      <c r="E182" s="33" t="s">
        <v>226</v>
      </c>
      <c r="F182" s="33" t="s">
        <v>1172</v>
      </c>
      <c r="H182" t="str">
        <f t="shared" si="22"/>
        <v>TS Practice India</v>
      </c>
      <c r="J182" t="str">
        <f t="shared" si="18"/>
        <v>TS_Practice_India</v>
      </c>
      <c r="K182" t="str">
        <f t="shared" si="19"/>
        <v>TS_Practice_IndiaSoftware Engineer</v>
      </c>
      <c r="M182" t="str">
        <f t="shared" si="17"/>
        <v>TS_Practice_India</v>
      </c>
      <c r="N182" s="185" t="str">
        <f t="shared" si="20"/>
        <v>Software Engineer</v>
      </c>
      <c r="O182" t="str">
        <f t="shared" si="21"/>
        <v>Devadarshini D</v>
      </c>
      <c r="P182" t="str" cm="1">
        <f t="array" ref="P182">INDEX(_xlfn.TEXTSPLIT(B182," "),3)</f>
        <v>India</v>
      </c>
    </row>
    <row r="183" spans="1:16" x14ac:dyDescent="0.25">
      <c r="A183" s="33" t="s">
        <v>1131</v>
      </c>
      <c r="B183" s="33" t="s">
        <v>1505</v>
      </c>
      <c r="C183" s="33" t="s">
        <v>1521</v>
      </c>
      <c r="D183" s="33" t="s">
        <v>1522</v>
      </c>
      <c r="E183" s="33" t="s">
        <v>438</v>
      </c>
      <c r="F183" s="33" t="s">
        <v>1172</v>
      </c>
      <c r="H183" t="str">
        <f t="shared" si="22"/>
        <v>TS Practice India</v>
      </c>
      <c r="J183" t="str">
        <f t="shared" si="18"/>
        <v>TS_Practice_India</v>
      </c>
      <c r="K183" t="str">
        <f t="shared" si="19"/>
        <v>TS_Practice_IndiaQA Tester - Automation</v>
      </c>
      <c r="M183" t="str">
        <f t="shared" si="17"/>
        <v>TS_Practice_India</v>
      </c>
      <c r="N183" s="185" t="str">
        <f t="shared" si="20"/>
        <v>QA Tester - Automation</v>
      </c>
      <c r="O183" t="str">
        <f t="shared" si="21"/>
        <v>Suyash Bhalinge</v>
      </c>
      <c r="P183" t="str" cm="1">
        <f t="array" ref="P183">INDEX(_xlfn.TEXTSPLIT(B183," "),3)</f>
        <v>India</v>
      </c>
    </row>
    <row r="184" spans="1:16" x14ac:dyDescent="0.25">
      <c r="A184" s="33" t="s">
        <v>1131</v>
      </c>
      <c r="B184" s="33" t="s">
        <v>1505</v>
      </c>
      <c r="C184" s="33" t="s">
        <v>1523</v>
      </c>
      <c r="D184" s="33" t="s">
        <v>1524</v>
      </c>
      <c r="E184" s="33" t="s">
        <v>432</v>
      </c>
      <c r="F184" s="33" t="s">
        <v>1172</v>
      </c>
      <c r="H184" t="str">
        <f t="shared" si="22"/>
        <v>TS Practice India</v>
      </c>
      <c r="J184" t="str">
        <f t="shared" si="18"/>
        <v>TS_Practice_India</v>
      </c>
      <c r="K184" t="str">
        <f t="shared" si="19"/>
        <v>TS_Practice_IndiaDeveloper</v>
      </c>
      <c r="M184" t="str">
        <f t="shared" si="17"/>
        <v>TS_Practice_India</v>
      </c>
      <c r="N184" s="185" t="str">
        <f t="shared" si="20"/>
        <v>Developer</v>
      </c>
      <c r="O184" t="str">
        <f t="shared" si="21"/>
        <v>Kaif Jamil</v>
      </c>
      <c r="P184" t="str" cm="1">
        <f t="array" ref="P184">INDEX(_xlfn.TEXTSPLIT(B184," "),3)</f>
        <v>India</v>
      </c>
    </row>
    <row r="185" spans="1:16" x14ac:dyDescent="0.25">
      <c r="A185" s="33" t="s">
        <v>1131</v>
      </c>
      <c r="B185" s="33" t="s">
        <v>1505</v>
      </c>
      <c r="C185" s="33" t="s">
        <v>1525</v>
      </c>
      <c r="D185" s="33" t="s">
        <v>1272</v>
      </c>
      <c r="E185" s="33" t="s">
        <v>427</v>
      </c>
      <c r="F185" s="33" t="s">
        <v>1172</v>
      </c>
      <c r="H185" t="str">
        <f t="shared" si="22"/>
        <v>TS Practice India</v>
      </c>
      <c r="J185" t="str">
        <f t="shared" si="18"/>
        <v>TS_Practice_India</v>
      </c>
      <c r="K185" t="str">
        <f t="shared" si="19"/>
        <v>TS_Practice_IndiaBusiness/Data Analyst</v>
      </c>
      <c r="M185" t="str">
        <f t="shared" si="17"/>
        <v>TS_Practice_India</v>
      </c>
      <c r="N185" s="185" t="str">
        <f t="shared" si="20"/>
        <v>Business/Data Analyst</v>
      </c>
      <c r="O185" t="str">
        <f t="shared" si="21"/>
        <v>Isha Sharma</v>
      </c>
      <c r="P185" t="str" cm="1">
        <f t="array" ref="P185">INDEX(_xlfn.TEXTSPLIT(B185," "),3)</f>
        <v>India</v>
      </c>
    </row>
    <row r="186" spans="1:16" x14ac:dyDescent="0.25">
      <c r="A186" s="33" t="s">
        <v>1131</v>
      </c>
      <c r="B186" s="33" t="s">
        <v>1505</v>
      </c>
      <c r="C186" s="33" t="s">
        <v>1526</v>
      </c>
      <c r="D186" s="33" t="s">
        <v>1527</v>
      </c>
      <c r="E186" s="33" t="s">
        <v>226</v>
      </c>
      <c r="F186" s="33" t="s">
        <v>1172</v>
      </c>
      <c r="H186" t="str">
        <f t="shared" si="22"/>
        <v>TS Practice India</v>
      </c>
      <c r="J186" t="str">
        <f t="shared" si="18"/>
        <v>TS_Practice_India</v>
      </c>
      <c r="K186" t="str">
        <f t="shared" si="19"/>
        <v>TS_Practice_IndiaSoftware Engineer</v>
      </c>
      <c r="M186" t="str">
        <f t="shared" si="17"/>
        <v>TS_Practice_India</v>
      </c>
      <c r="N186" s="185" t="str">
        <f t="shared" si="20"/>
        <v>Software Engineer</v>
      </c>
      <c r="O186" t="str">
        <f t="shared" si="21"/>
        <v>Manish N Gond</v>
      </c>
      <c r="P186" t="str" cm="1">
        <f t="array" ref="P186">INDEX(_xlfn.TEXTSPLIT(B186," "),3)</f>
        <v>India</v>
      </c>
    </row>
    <row r="187" spans="1:16" x14ac:dyDescent="0.25">
      <c r="A187" s="33" t="s">
        <v>1131</v>
      </c>
      <c r="B187" s="33" t="s">
        <v>1505</v>
      </c>
      <c r="C187" s="33" t="s">
        <v>1528</v>
      </c>
      <c r="D187" s="33" t="s">
        <v>1529</v>
      </c>
      <c r="E187" s="33" t="s">
        <v>443</v>
      </c>
      <c r="F187" s="33" t="s">
        <v>1172</v>
      </c>
      <c r="H187" t="str">
        <f t="shared" si="22"/>
        <v>TS Practice India</v>
      </c>
      <c r="J187" t="str">
        <f t="shared" si="18"/>
        <v>TS_Practice_India</v>
      </c>
      <c r="K187" t="str">
        <f t="shared" si="19"/>
        <v>TS_Practice_IndiaSupport Engineer</v>
      </c>
      <c r="M187" t="str">
        <f t="shared" si="17"/>
        <v>TS_Practice_India</v>
      </c>
      <c r="N187" s="185" t="str">
        <f t="shared" si="20"/>
        <v>Support Engineer</v>
      </c>
      <c r="O187" t="str">
        <f t="shared" si="21"/>
        <v>Govind Biradar</v>
      </c>
      <c r="P187" t="str" cm="1">
        <f t="array" ref="P187">INDEX(_xlfn.TEXTSPLIT(B187," "),3)</f>
        <v>India</v>
      </c>
    </row>
    <row r="188" spans="1:16" x14ac:dyDescent="0.25">
      <c r="A188" s="33" t="s">
        <v>1131</v>
      </c>
      <c r="B188" s="33" t="s">
        <v>1505</v>
      </c>
      <c r="C188" s="33" t="s">
        <v>1530</v>
      </c>
      <c r="D188" s="33" t="s">
        <v>1531</v>
      </c>
      <c r="E188" s="33" t="s">
        <v>427</v>
      </c>
      <c r="F188" s="33" t="s">
        <v>1172</v>
      </c>
      <c r="H188" t="str">
        <f t="shared" si="22"/>
        <v>TS Practice India</v>
      </c>
      <c r="J188" t="str">
        <f t="shared" si="18"/>
        <v>TS_Practice_India</v>
      </c>
      <c r="K188" t="str">
        <f t="shared" si="19"/>
        <v>TS_Practice_IndiaBusiness/Data Analyst</v>
      </c>
      <c r="M188" t="str">
        <f t="shared" si="17"/>
        <v>TS_Practice_India</v>
      </c>
      <c r="N188" s="185" t="str">
        <f t="shared" si="20"/>
        <v>Business/Data Analyst</v>
      </c>
      <c r="O188" t="str">
        <f t="shared" si="21"/>
        <v>Palak Pasari</v>
      </c>
      <c r="P188" t="str" cm="1">
        <f t="array" ref="P188">INDEX(_xlfn.TEXTSPLIT(B188," "),3)</f>
        <v>India</v>
      </c>
    </row>
    <row r="189" spans="1:16" x14ac:dyDescent="0.25">
      <c r="A189" s="33" t="s">
        <v>1131</v>
      </c>
      <c r="B189" s="33" t="s">
        <v>1505</v>
      </c>
      <c r="C189" s="33" t="s">
        <v>1532</v>
      </c>
      <c r="D189" s="33" t="s">
        <v>1533</v>
      </c>
      <c r="E189" s="33" t="s">
        <v>446</v>
      </c>
      <c r="F189" s="33" t="s">
        <v>1172</v>
      </c>
      <c r="H189" t="str">
        <f t="shared" si="22"/>
        <v>TS Practice India</v>
      </c>
      <c r="J189" t="str">
        <f t="shared" si="18"/>
        <v>TS_Practice_India</v>
      </c>
      <c r="K189" t="str">
        <f t="shared" si="19"/>
        <v>TS_Practice_IndiaSr. QA Tester - Manual</v>
      </c>
      <c r="M189" t="str">
        <f t="shared" si="17"/>
        <v>TS_Practice_India</v>
      </c>
      <c r="N189" s="185" t="str">
        <f t="shared" si="20"/>
        <v>Sr. QA Tester - Manual</v>
      </c>
      <c r="O189" t="str">
        <f t="shared" si="21"/>
        <v>Mansur Shaikh</v>
      </c>
      <c r="P189" t="str" cm="1">
        <f t="array" ref="P189">INDEX(_xlfn.TEXTSPLIT(B189," "),3)</f>
        <v>India</v>
      </c>
    </row>
    <row r="190" spans="1:16" x14ac:dyDescent="0.25">
      <c r="A190" s="33" t="s">
        <v>1131</v>
      </c>
      <c r="B190" s="33" t="s">
        <v>1505</v>
      </c>
      <c r="C190" s="33" t="s">
        <v>1534</v>
      </c>
      <c r="D190" s="33" t="s">
        <v>1535</v>
      </c>
      <c r="E190" s="33" t="s">
        <v>448</v>
      </c>
      <c r="F190" s="33" t="s">
        <v>1172</v>
      </c>
      <c r="H190" t="str">
        <f t="shared" si="22"/>
        <v>TS Practice India</v>
      </c>
      <c r="J190" t="str">
        <f t="shared" si="18"/>
        <v>TS_Practice_India</v>
      </c>
      <c r="K190" t="str">
        <f t="shared" si="19"/>
        <v>TS_Practice_IndiaSr. Developer</v>
      </c>
      <c r="M190" t="str">
        <f t="shared" si="17"/>
        <v>TS_Practice_India</v>
      </c>
      <c r="N190" s="185" t="str">
        <f t="shared" si="20"/>
        <v>Sr. Developer</v>
      </c>
      <c r="O190" t="str">
        <f t="shared" si="21"/>
        <v>Yagnik Sakhiya</v>
      </c>
      <c r="P190" t="str" cm="1">
        <f t="array" ref="P190">INDEX(_xlfn.TEXTSPLIT(B190," "),3)</f>
        <v>India</v>
      </c>
    </row>
    <row r="191" spans="1:16" x14ac:dyDescent="0.25">
      <c r="A191" s="33" t="s">
        <v>1131</v>
      </c>
      <c r="B191" s="33" t="s">
        <v>1505</v>
      </c>
      <c r="C191" s="33" t="s">
        <v>1536</v>
      </c>
      <c r="D191" s="33" t="s">
        <v>1537</v>
      </c>
      <c r="E191" s="33" t="s">
        <v>427</v>
      </c>
      <c r="F191" s="33" t="s">
        <v>1172</v>
      </c>
      <c r="H191" t="str">
        <f t="shared" si="22"/>
        <v>TS Practice India</v>
      </c>
      <c r="J191" t="str">
        <f t="shared" si="18"/>
        <v>TS_Practice_India</v>
      </c>
      <c r="K191" t="str">
        <f t="shared" si="19"/>
        <v>TS_Practice_IndiaBusiness/Data Analyst</v>
      </c>
      <c r="M191" t="str">
        <f t="shared" si="17"/>
        <v>TS_Practice_India</v>
      </c>
      <c r="N191" s="185" t="str">
        <f t="shared" si="20"/>
        <v>Business/Data Analyst</v>
      </c>
      <c r="O191" t="str">
        <f t="shared" si="21"/>
        <v>Shikha Yadav</v>
      </c>
      <c r="P191" t="str" cm="1">
        <f t="array" ref="P191">INDEX(_xlfn.TEXTSPLIT(B191," "),3)</f>
        <v>India</v>
      </c>
    </row>
    <row r="192" spans="1:16" x14ac:dyDescent="0.25">
      <c r="A192" s="33" t="s">
        <v>1131</v>
      </c>
      <c r="B192" s="33" t="s">
        <v>1505</v>
      </c>
      <c r="C192" s="33" t="s">
        <v>1538</v>
      </c>
      <c r="D192" s="33" t="s">
        <v>1539</v>
      </c>
      <c r="E192" s="33" t="s">
        <v>427</v>
      </c>
      <c r="F192" s="33" t="s">
        <v>1172</v>
      </c>
      <c r="H192" t="str">
        <f t="shared" si="22"/>
        <v>TS Practice India</v>
      </c>
      <c r="J192" t="str">
        <f t="shared" si="18"/>
        <v>TS_Practice_India</v>
      </c>
      <c r="K192" t="str">
        <f t="shared" si="19"/>
        <v>TS_Practice_IndiaBusiness/Data Analyst</v>
      </c>
      <c r="M192" t="str">
        <f t="shared" si="17"/>
        <v>TS_Practice_India</v>
      </c>
      <c r="N192" s="185" t="str">
        <f t="shared" si="20"/>
        <v>Business/Data Analyst</v>
      </c>
      <c r="O192" t="str">
        <f t="shared" si="21"/>
        <v>Anju V S</v>
      </c>
      <c r="P192" t="str" cm="1">
        <f t="array" ref="P192">INDEX(_xlfn.TEXTSPLIT(B192," "),3)</f>
        <v>India</v>
      </c>
    </row>
    <row r="193" spans="1:16" x14ac:dyDescent="0.25">
      <c r="A193" s="33" t="s">
        <v>1131</v>
      </c>
      <c r="B193" s="33" t="s">
        <v>1505</v>
      </c>
      <c r="C193" s="33" t="s">
        <v>1540</v>
      </c>
      <c r="D193" s="33" t="s">
        <v>1541</v>
      </c>
      <c r="E193" s="33" t="s">
        <v>452</v>
      </c>
      <c r="F193" s="33" t="s">
        <v>1172</v>
      </c>
      <c r="H193" t="str">
        <f t="shared" si="22"/>
        <v>TS Practice India</v>
      </c>
      <c r="J193" t="str">
        <f t="shared" si="18"/>
        <v>TS_Practice_India</v>
      </c>
      <c r="K193" t="str">
        <f t="shared" si="19"/>
        <v>TS_Practice_IndiaSr. Data Engineer</v>
      </c>
      <c r="M193" t="str">
        <f t="shared" si="17"/>
        <v>TS_Practice_India</v>
      </c>
      <c r="N193" s="185" t="str">
        <f t="shared" si="20"/>
        <v>Sr. Data Engineer</v>
      </c>
      <c r="O193" t="str">
        <f t="shared" si="21"/>
        <v>Varun Krishnadas</v>
      </c>
      <c r="P193" t="str" cm="1">
        <f t="array" ref="P193">INDEX(_xlfn.TEXTSPLIT(B193," "),3)</f>
        <v>India</v>
      </c>
    </row>
    <row r="194" spans="1:16" x14ac:dyDescent="0.25">
      <c r="A194" s="33" t="s">
        <v>1131</v>
      </c>
      <c r="B194" s="33" t="s">
        <v>1505</v>
      </c>
      <c r="C194" s="33" t="s">
        <v>1542</v>
      </c>
      <c r="D194" s="33" t="s">
        <v>1404</v>
      </c>
      <c r="E194" s="33" t="s">
        <v>443</v>
      </c>
      <c r="F194" s="33" t="s">
        <v>1172</v>
      </c>
      <c r="H194" t="str">
        <f t="shared" si="22"/>
        <v>TS Practice India</v>
      </c>
      <c r="J194" t="str">
        <f t="shared" si="18"/>
        <v>TS_Practice_India</v>
      </c>
      <c r="K194" t="str">
        <f t="shared" si="19"/>
        <v>TS_Practice_IndiaSupport Engineer</v>
      </c>
      <c r="M194" t="str">
        <f t="shared" ref="M194:M257" si="23">J194</f>
        <v>TS_Practice_India</v>
      </c>
      <c r="N194" s="185" t="str">
        <f t="shared" si="20"/>
        <v>Support Engineer</v>
      </c>
      <c r="O194" t="str">
        <f t="shared" si="21"/>
        <v>Anshika Jain</v>
      </c>
      <c r="P194" t="str" cm="1">
        <f t="array" ref="P194">INDEX(_xlfn.TEXTSPLIT(B194," "),3)</f>
        <v>India</v>
      </c>
    </row>
    <row r="195" spans="1:16" x14ac:dyDescent="0.25">
      <c r="A195" s="33" t="s">
        <v>1131</v>
      </c>
      <c r="B195" s="33" t="s">
        <v>1505</v>
      </c>
      <c r="C195" s="33" t="s">
        <v>1543</v>
      </c>
      <c r="D195" s="33" t="s">
        <v>1544</v>
      </c>
      <c r="E195" s="33" t="s">
        <v>427</v>
      </c>
      <c r="F195" s="33" t="s">
        <v>1172</v>
      </c>
      <c r="H195" t="str">
        <f t="shared" si="22"/>
        <v>TS Practice India</v>
      </c>
      <c r="J195" t="str">
        <f t="shared" ref="J195:J258" si="24">SUBSTITUTE(TRIM(H195)," ","_")</f>
        <v>TS_Practice_India</v>
      </c>
      <c r="K195" t="str">
        <f t="shared" si="19"/>
        <v>TS_Practice_IndiaBusiness/Data Analyst</v>
      </c>
      <c r="M195" t="str">
        <f t="shared" si="23"/>
        <v>TS_Practice_India</v>
      </c>
      <c r="N195" s="185" t="str">
        <f t="shared" si="20"/>
        <v>Business/Data Analyst</v>
      </c>
      <c r="O195" t="str">
        <f t="shared" si="21"/>
        <v>Sree Vignesh A K</v>
      </c>
      <c r="P195" t="str" cm="1">
        <f t="array" ref="P195">INDEX(_xlfn.TEXTSPLIT(B195," "),3)</f>
        <v>India</v>
      </c>
    </row>
    <row r="196" spans="1:16" x14ac:dyDescent="0.25">
      <c r="A196" s="33" t="s">
        <v>1131</v>
      </c>
      <c r="B196" s="33" t="s">
        <v>1505</v>
      </c>
      <c r="C196" s="33" t="s">
        <v>1528</v>
      </c>
      <c r="D196" s="33" t="s">
        <v>1545</v>
      </c>
      <c r="E196" s="33" t="s">
        <v>448</v>
      </c>
      <c r="F196" s="33" t="s">
        <v>1172</v>
      </c>
      <c r="H196" t="str">
        <f t="shared" si="22"/>
        <v>TS Practice India</v>
      </c>
      <c r="J196" t="str">
        <f t="shared" si="24"/>
        <v>TS_Practice_India</v>
      </c>
      <c r="K196" t="str">
        <f t="shared" si="19"/>
        <v>TS_Practice_IndiaSr. Developer</v>
      </c>
      <c r="M196" t="str">
        <f t="shared" si="23"/>
        <v>TS_Practice_India</v>
      </c>
      <c r="N196" s="185" t="str">
        <f t="shared" si="20"/>
        <v>Sr. Developer</v>
      </c>
      <c r="O196" t="str">
        <f t="shared" si="21"/>
        <v>Govind Turkar</v>
      </c>
      <c r="P196" t="str" cm="1">
        <f t="array" ref="P196">INDEX(_xlfn.TEXTSPLIT(B196," "),3)</f>
        <v>India</v>
      </c>
    </row>
    <row r="197" spans="1:16" x14ac:dyDescent="0.25">
      <c r="A197" s="33" t="s">
        <v>1131</v>
      </c>
      <c r="B197" s="33" t="s">
        <v>1505</v>
      </c>
      <c r="C197" s="33" t="s">
        <v>1546</v>
      </c>
      <c r="D197" s="33" t="s">
        <v>1547</v>
      </c>
      <c r="E197" s="33" t="s">
        <v>443</v>
      </c>
      <c r="F197" s="33" t="s">
        <v>1172</v>
      </c>
      <c r="H197" t="str">
        <f t="shared" si="22"/>
        <v>TS Practice India</v>
      </c>
      <c r="J197" t="str">
        <f t="shared" si="24"/>
        <v>TS_Practice_India</v>
      </c>
      <c r="K197" t="str">
        <f t="shared" si="19"/>
        <v>TS_Practice_IndiaSupport Engineer</v>
      </c>
      <c r="M197" t="str">
        <f t="shared" si="23"/>
        <v>TS_Practice_India</v>
      </c>
      <c r="N197" s="185" t="str">
        <f t="shared" si="20"/>
        <v>Support Engineer</v>
      </c>
      <c r="O197" t="str">
        <f t="shared" si="21"/>
        <v>Yukendra Kumar R M</v>
      </c>
      <c r="P197" t="str" cm="1">
        <f t="array" ref="P197">INDEX(_xlfn.TEXTSPLIT(B197," "),3)</f>
        <v>India</v>
      </c>
    </row>
    <row r="198" spans="1:16" x14ac:dyDescent="0.25">
      <c r="A198" s="33" t="s">
        <v>1131</v>
      </c>
      <c r="B198" s="33" t="s">
        <v>1505</v>
      </c>
      <c r="C198" s="33" t="s">
        <v>1548</v>
      </c>
      <c r="D198" s="33" t="s">
        <v>1549</v>
      </c>
      <c r="E198" s="33" t="s">
        <v>458</v>
      </c>
      <c r="F198" s="33" t="s">
        <v>1172</v>
      </c>
      <c r="H198" t="str">
        <f t="shared" si="22"/>
        <v>TS Practice India</v>
      </c>
      <c r="J198" t="str">
        <f t="shared" si="24"/>
        <v>TS_Practice_India</v>
      </c>
      <c r="K198" t="str">
        <f t="shared" si="19"/>
        <v>TS_Practice_IndiaService Delivery Manager</v>
      </c>
      <c r="M198" t="str">
        <f t="shared" si="23"/>
        <v>TS_Practice_India</v>
      </c>
      <c r="N198" s="185" t="str">
        <f t="shared" si="20"/>
        <v>Service Delivery Manager</v>
      </c>
      <c r="O198" t="str">
        <f t="shared" si="21"/>
        <v>Atul Bhardwaj</v>
      </c>
      <c r="P198" t="str" cm="1">
        <f t="array" ref="P198">INDEX(_xlfn.TEXTSPLIT(B198," "),3)</f>
        <v>India</v>
      </c>
    </row>
    <row r="199" spans="1:16" x14ac:dyDescent="0.25">
      <c r="A199" s="33" t="s">
        <v>1131</v>
      </c>
      <c r="B199" s="33" t="s">
        <v>1505</v>
      </c>
      <c r="C199" s="33" t="s">
        <v>1158</v>
      </c>
      <c r="D199" s="33" t="s">
        <v>1550</v>
      </c>
      <c r="E199" s="33" t="s">
        <v>226</v>
      </c>
      <c r="F199" s="33" t="s">
        <v>1172</v>
      </c>
      <c r="H199" t="str">
        <f t="shared" si="22"/>
        <v>TS Practice India</v>
      </c>
      <c r="J199" t="str">
        <f t="shared" si="24"/>
        <v>TS_Practice_India</v>
      </c>
      <c r="K199" t="str">
        <f t="shared" si="19"/>
        <v>TS_Practice_IndiaSoftware Engineer</v>
      </c>
      <c r="M199" t="str">
        <f t="shared" si="23"/>
        <v>TS_Practice_India</v>
      </c>
      <c r="N199" s="185" t="str">
        <f t="shared" si="20"/>
        <v>Software Engineer</v>
      </c>
      <c r="O199" t="str">
        <f t="shared" si="21"/>
        <v>Gowtham Periasamy</v>
      </c>
      <c r="P199" t="str" cm="1">
        <f t="array" ref="P199">INDEX(_xlfn.TEXTSPLIT(B199," "),3)</f>
        <v>India</v>
      </c>
    </row>
    <row r="200" spans="1:16" x14ac:dyDescent="0.25">
      <c r="A200" s="33" t="s">
        <v>1131</v>
      </c>
      <c r="B200" s="33" t="s">
        <v>1505</v>
      </c>
      <c r="C200" s="33" t="s">
        <v>1551</v>
      </c>
      <c r="D200" s="33" t="s">
        <v>1552</v>
      </c>
      <c r="E200" s="33" t="s">
        <v>432</v>
      </c>
      <c r="F200" s="33" t="s">
        <v>1172</v>
      </c>
      <c r="H200" t="str">
        <f t="shared" si="22"/>
        <v>TS Practice India</v>
      </c>
      <c r="J200" t="str">
        <f t="shared" si="24"/>
        <v>TS_Practice_India</v>
      </c>
      <c r="K200" t="str">
        <f t="shared" si="19"/>
        <v>TS_Practice_IndiaDeveloper</v>
      </c>
      <c r="M200" t="str">
        <f t="shared" si="23"/>
        <v>TS_Practice_India</v>
      </c>
      <c r="N200" s="185" t="str">
        <f t="shared" si="20"/>
        <v>Developer</v>
      </c>
      <c r="O200" t="str">
        <f t="shared" si="21"/>
        <v>Kshitij Mall</v>
      </c>
      <c r="P200" t="str" cm="1">
        <f t="array" ref="P200">INDEX(_xlfn.TEXTSPLIT(B200," "),3)</f>
        <v>India</v>
      </c>
    </row>
    <row r="201" spans="1:16" x14ac:dyDescent="0.25">
      <c r="A201" s="33" t="s">
        <v>1131</v>
      </c>
      <c r="B201" s="33" t="s">
        <v>1505</v>
      </c>
      <c r="C201" s="33" t="s">
        <v>1553</v>
      </c>
      <c r="D201" s="33" t="s">
        <v>1554</v>
      </c>
      <c r="E201" s="33" t="s">
        <v>443</v>
      </c>
      <c r="F201" s="33" t="s">
        <v>1172</v>
      </c>
      <c r="H201" t="str">
        <f t="shared" si="22"/>
        <v>TS Practice India</v>
      </c>
      <c r="J201" t="str">
        <f t="shared" si="24"/>
        <v>TS_Practice_India</v>
      </c>
      <c r="K201" t="str">
        <f t="shared" si="19"/>
        <v>TS_Practice_IndiaSupport Engineer</v>
      </c>
      <c r="M201" t="str">
        <f t="shared" si="23"/>
        <v>TS_Practice_India</v>
      </c>
      <c r="N201" s="185" t="str">
        <f t="shared" si="20"/>
        <v>Support Engineer</v>
      </c>
      <c r="O201" t="str">
        <f t="shared" si="21"/>
        <v>Syam Sundar Ethakota</v>
      </c>
      <c r="P201" t="str" cm="1">
        <f t="array" ref="P201">INDEX(_xlfn.TEXTSPLIT(B201," "),3)</f>
        <v>India</v>
      </c>
    </row>
    <row r="202" spans="1:16" x14ac:dyDescent="0.25">
      <c r="A202" s="33" t="s">
        <v>1131</v>
      </c>
      <c r="B202" s="33" t="s">
        <v>1505</v>
      </c>
      <c r="C202" s="33" t="s">
        <v>1555</v>
      </c>
      <c r="D202" s="33" t="s">
        <v>1556</v>
      </c>
      <c r="E202" s="33" t="s">
        <v>226</v>
      </c>
      <c r="F202" s="33" t="s">
        <v>1172</v>
      </c>
      <c r="H202" t="str">
        <f t="shared" si="22"/>
        <v>TS Practice India</v>
      </c>
      <c r="J202" t="str">
        <f t="shared" si="24"/>
        <v>TS_Practice_India</v>
      </c>
      <c r="K202" t="str">
        <f t="shared" si="19"/>
        <v>TS_Practice_IndiaSoftware Engineer</v>
      </c>
      <c r="M202" t="str">
        <f t="shared" si="23"/>
        <v>TS_Practice_India</v>
      </c>
      <c r="N202" s="185" t="str">
        <f t="shared" si="20"/>
        <v>Software Engineer</v>
      </c>
      <c r="O202" t="str">
        <f t="shared" si="21"/>
        <v>Vigneshwaran Arumugam</v>
      </c>
      <c r="P202" t="str" cm="1">
        <f t="array" ref="P202">INDEX(_xlfn.TEXTSPLIT(B202," "),3)</f>
        <v>India</v>
      </c>
    </row>
    <row r="203" spans="1:16" x14ac:dyDescent="0.25">
      <c r="A203" s="33" t="s">
        <v>1131</v>
      </c>
      <c r="B203" s="33" t="s">
        <v>1505</v>
      </c>
      <c r="C203" s="33" t="s">
        <v>1557</v>
      </c>
      <c r="D203" s="33" t="s">
        <v>1558</v>
      </c>
      <c r="E203" s="33" t="s">
        <v>226</v>
      </c>
      <c r="F203" s="33" t="s">
        <v>1172</v>
      </c>
      <c r="H203" t="str">
        <f t="shared" si="22"/>
        <v>TS Practice India</v>
      </c>
      <c r="J203" t="str">
        <f t="shared" si="24"/>
        <v>TS_Practice_India</v>
      </c>
      <c r="K203" t="str">
        <f t="shared" si="19"/>
        <v>TS_Practice_IndiaSoftware Engineer</v>
      </c>
      <c r="M203" t="str">
        <f t="shared" si="23"/>
        <v>TS_Practice_India</v>
      </c>
      <c r="N203" s="185" t="str">
        <f t="shared" si="20"/>
        <v>Software Engineer</v>
      </c>
      <c r="O203" t="str">
        <f t="shared" si="21"/>
        <v>Arnav Tyagi</v>
      </c>
      <c r="P203" t="str" cm="1">
        <f t="array" ref="P203">INDEX(_xlfn.TEXTSPLIT(B203," "),3)</f>
        <v>India</v>
      </c>
    </row>
    <row r="204" spans="1:16" x14ac:dyDescent="0.25">
      <c r="A204" s="33" t="s">
        <v>1131</v>
      </c>
      <c r="B204" s="33" t="s">
        <v>1505</v>
      </c>
      <c r="C204" s="33" t="s">
        <v>1559</v>
      </c>
      <c r="D204" s="33" t="s">
        <v>1216</v>
      </c>
      <c r="E204" s="33" t="s">
        <v>226</v>
      </c>
      <c r="F204" s="33" t="s">
        <v>1172</v>
      </c>
      <c r="H204" t="str">
        <f t="shared" si="22"/>
        <v>TS Practice India</v>
      </c>
      <c r="J204" t="str">
        <f t="shared" si="24"/>
        <v>TS_Practice_India</v>
      </c>
      <c r="K204" t="str">
        <f t="shared" si="19"/>
        <v>TS_Practice_IndiaSoftware Engineer</v>
      </c>
      <c r="M204" t="str">
        <f t="shared" si="23"/>
        <v>TS_Practice_India</v>
      </c>
      <c r="N204" s="185" t="str">
        <f t="shared" si="20"/>
        <v>Software Engineer</v>
      </c>
      <c r="O204" t="str">
        <f t="shared" si="21"/>
        <v>Parimala Ganesh</v>
      </c>
      <c r="P204" t="str" cm="1">
        <f t="array" ref="P204">INDEX(_xlfn.TEXTSPLIT(B204," "),3)</f>
        <v>India</v>
      </c>
    </row>
    <row r="205" spans="1:16" x14ac:dyDescent="0.25">
      <c r="A205" s="33" t="s">
        <v>1131</v>
      </c>
      <c r="B205" s="33" t="s">
        <v>1505</v>
      </c>
      <c r="C205" s="33" t="s">
        <v>1560</v>
      </c>
      <c r="D205" s="33" t="s">
        <v>1561</v>
      </c>
      <c r="E205" s="33" t="s">
        <v>427</v>
      </c>
      <c r="F205" s="33" t="s">
        <v>1172</v>
      </c>
      <c r="H205" t="str">
        <f t="shared" si="22"/>
        <v>TS Practice India</v>
      </c>
      <c r="J205" t="str">
        <f t="shared" si="24"/>
        <v>TS_Practice_India</v>
      </c>
      <c r="K205" t="str">
        <f t="shared" si="19"/>
        <v>TS_Practice_IndiaBusiness/Data Analyst</v>
      </c>
      <c r="M205" t="str">
        <f t="shared" si="23"/>
        <v>TS_Practice_India</v>
      </c>
      <c r="N205" s="185" t="str">
        <f t="shared" si="20"/>
        <v>Business/Data Analyst</v>
      </c>
      <c r="O205" t="str">
        <f t="shared" si="21"/>
        <v>Rohan Kapoor</v>
      </c>
      <c r="P205" t="str" cm="1">
        <f t="array" ref="P205">INDEX(_xlfn.TEXTSPLIT(B205," "),3)</f>
        <v>India</v>
      </c>
    </row>
    <row r="206" spans="1:16" x14ac:dyDescent="0.25">
      <c r="A206" s="33" t="s">
        <v>1131</v>
      </c>
      <c r="B206" s="33" t="s">
        <v>1505</v>
      </c>
      <c r="C206" s="33" t="s">
        <v>1352</v>
      </c>
      <c r="D206" s="33" t="s">
        <v>1562</v>
      </c>
      <c r="E206" s="33" t="s">
        <v>226</v>
      </c>
      <c r="F206" s="33" t="s">
        <v>1172</v>
      </c>
      <c r="H206" t="str">
        <f t="shared" si="22"/>
        <v>TS Practice India</v>
      </c>
      <c r="J206" t="str">
        <f t="shared" si="24"/>
        <v>TS_Practice_India</v>
      </c>
      <c r="K206" t="str">
        <f t="shared" si="19"/>
        <v>TS_Practice_IndiaSoftware Engineer</v>
      </c>
      <c r="M206" t="str">
        <f t="shared" si="23"/>
        <v>TS_Practice_India</v>
      </c>
      <c r="N206" s="185" t="str">
        <f t="shared" si="20"/>
        <v>Software Engineer</v>
      </c>
      <c r="O206" t="str">
        <f t="shared" si="21"/>
        <v>Mohammed Aleemullah</v>
      </c>
      <c r="P206" t="str" cm="1">
        <f t="array" ref="P206">INDEX(_xlfn.TEXTSPLIT(B206," "),3)</f>
        <v>India</v>
      </c>
    </row>
    <row r="207" spans="1:16" x14ac:dyDescent="0.25">
      <c r="A207" s="33" t="s">
        <v>1131</v>
      </c>
      <c r="B207" s="33" t="s">
        <v>1505</v>
      </c>
      <c r="C207" s="33" t="s">
        <v>1563</v>
      </c>
      <c r="D207" s="33" t="s">
        <v>1564</v>
      </c>
      <c r="E207" s="33" t="s">
        <v>468</v>
      </c>
      <c r="F207" s="33" t="s">
        <v>1172</v>
      </c>
      <c r="H207" t="str">
        <f t="shared" si="22"/>
        <v>TS Practice India</v>
      </c>
      <c r="J207" t="str">
        <f t="shared" si="24"/>
        <v>TS_Practice_India</v>
      </c>
      <c r="K207" t="str">
        <f t="shared" si="19"/>
        <v>TS_Practice_IndiaSr. QA Tester - Automation</v>
      </c>
      <c r="M207" t="str">
        <f t="shared" si="23"/>
        <v>TS_Practice_India</v>
      </c>
      <c r="N207" s="185" t="str">
        <f t="shared" si="20"/>
        <v>Sr. QA Tester - Automation</v>
      </c>
      <c r="O207" t="str">
        <f t="shared" si="21"/>
        <v>Velmurugananthan Singaravel</v>
      </c>
      <c r="P207" t="str" cm="1">
        <f t="array" ref="P207">INDEX(_xlfn.TEXTSPLIT(B207," "),3)</f>
        <v>India</v>
      </c>
    </row>
    <row r="208" spans="1:16" x14ac:dyDescent="0.25">
      <c r="A208" s="33" t="s">
        <v>1131</v>
      </c>
      <c r="B208" s="33" t="s">
        <v>1505</v>
      </c>
      <c r="C208" s="33" t="s">
        <v>1565</v>
      </c>
      <c r="D208" s="33" t="s">
        <v>1566</v>
      </c>
      <c r="E208" s="33" t="s">
        <v>470</v>
      </c>
      <c r="F208" s="33" t="s">
        <v>1172</v>
      </c>
      <c r="H208" t="str">
        <f t="shared" si="22"/>
        <v>TS Practice India</v>
      </c>
      <c r="J208" t="str">
        <f t="shared" si="24"/>
        <v>TS_Practice_India</v>
      </c>
      <c r="K208" t="str">
        <f t="shared" si="19"/>
        <v>TS_Practice_IndiaTechnical Lead</v>
      </c>
      <c r="M208" t="str">
        <f t="shared" si="23"/>
        <v>TS_Practice_India</v>
      </c>
      <c r="N208" s="185" t="str">
        <f t="shared" si="20"/>
        <v>Technical Lead</v>
      </c>
      <c r="O208" t="str">
        <f t="shared" si="21"/>
        <v>Karan KrishnaKumar Nair</v>
      </c>
      <c r="P208" t="str" cm="1">
        <f t="array" ref="P208">INDEX(_xlfn.TEXTSPLIT(B208," "),3)</f>
        <v>India</v>
      </c>
    </row>
    <row r="209" spans="1:16" x14ac:dyDescent="0.25">
      <c r="A209" s="33" t="s">
        <v>1131</v>
      </c>
      <c r="B209" s="33" t="s">
        <v>1505</v>
      </c>
      <c r="C209" s="33" t="s">
        <v>1567</v>
      </c>
      <c r="D209" s="33" t="s">
        <v>1568</v>
      </c>
      <c r="E209" s="33" t="s">
        <v>468</v>
      </c>
      <c r="F209" s="33" t="s">
        <v>1172</v>
      </c>
      <c r="H209" t="str">
        <f t="shared" si="22"/>
        <v>TS Practice India</v>
      </c>
      <c r="J209" t="str">
        <f t="shared" si="24"/>
        <v>TS_Practice_India</v>
      </c>
      <c r="K209" t="str">
        <f t="shared" si="19"/>
        <v>TS_Practice_IndiaSr. QA Tester - Automation</v>
      </c>
      <c r="M209" t="str">
        <f t="shared" si="23"/>
        <v>TS_Practice_India</v>
      </c>
      <c r="N209" s="185" t="str">
        <f t="shared" si="20"/>
        <v>Sr. QA Tester - Automation</v>
      </c>
      <c r="O209" t="str">
        <f t="shared" si="21"/>
        <v>Arun Thakur</v>
      </c>
      <c r="P209" t="str" cm="1">
        <f t="array" ref="P209">INDEX(_xlfn.TEXTSPLIT(B209," "),3)</f>
        <v>India</v>
      </c>
    </row>
    <row r="210" spans="1:16" x14ac:dyDescent="0.25">
      <c r="A210" s="33" t="s">
        <v>1131</v>
      </c>
      <c r="B210" s="33" t="s">
        <v>1505</v>
      </c>
      <c r="C210" s="33" t="s">
        <v>1569</v>
      </c>
      <c r="D210" s="33" t="s">
        <v>1570</v>
      </c>
      <c r="E210" s="33" t="s">
        <v>226</v>
      </c>
      <c r="F210" s="33" t="s">
        <v>1172</v>
      </c>
      <c r="H210" t="str">
        <f t="shared" si="22"/>
        <v>TS Practice India</v>
      </c>
      <c r="J210" t="str">
        <f t="shared" si="24"/>
        <v>TS_Practice_India</v>
      </c>
      <c r="K210" t="str">
        <f t="shared" si="19"/>
        <v>TS_Practice_IndiaSoftware Engineer</v>
      </c>
      <c r="M210" t="str">
        <f t="shared" si="23"/>
        <v>TS_Practice_India</v>
      </c>
      <c r="N210" s="185" t="str">
        <f t="shared" si="20"/>
        <v>Software Engineer</v>
      </c>
      <c r="O210" t="str">
        <f t="shared" si="21"/>
        <v>Rahul Madev Gavane</v>
      </c>
      <c r="P210" t="str" cm="1">
        <f t="array" ref="P210">INDEX(_xlfn.TEXTSPLIT(B210," "),3)</f>
        <v>India</v>
      </c>
    </row>
    <row r="211" spans="1:16" x14ac:dyDescent="0.25">
      <c r="A211" s="33" t="s">
        <v>1131</v>
      </c>
      <c r="B211" s="33" t="s">
        <v>1505</v>
      </c>
      <c r="C211" s="33" t="s">
        <v>1571</v>
      </c>
      <c r="D211" s="33" t="s">
        <v>1572</v>
      </c>
      <c r="E211" s="33" t="s">
        <v>226</v>
      </c>
      <c r="F211" s="33" t="s">
        <v>1172</v>
      </c>
      <c r="H211" t="str">
        <f t="shared" si="22"/>
        <v>TS Practice India</v>
      </c>
      <c r="J211" t="str">
        <f t="shared" si="24"/>
        <v>TS_Practice_India</v>
      </c>
      <c r="K211" t="str">
        <f t="shared" si="19"/>
        <v>TS_Practice_IndiaSoftware Engineer</v>
      </c>
      <c r="M211" t="str">
        <f t="shared" si="23"/>
        <v>TS_Practice_India</v>
      </c>
      <c r="N211" s="185" t="str">
        <f t="shared" si="20"/>
        <v>Software Engineer</v>
      </c>
      <c r="O211" t="str">
        <f t="shared" si="21"/>
        <v>Sanjay G Gouda</v>
      </c>
      <c r="P211" t="str" cm="1">
        <f t="array" ref="P211">INDEX(_xlfn.TEXTSPLIT(B211," "),3)</f>
        <v>India</v>
      </c>
    </row>
    <row r="212" spans="1:16" x14ac:dyDescent="0.25">
      <c r="A212" s="33" t="s">
        <v>1131</v>
      </c>
      <c r="B212" s="33" t="s">
        <v>1505</v>
      </c>
      <c r="C212" s="33" t="s">
        <v>1573</v>
      </c>
      <c r="D212" s="33" t="s">
        <v>1574</v>
      </c>
      <c r="E212" s="33" t="s">
        <v>226</v>
      </c>
      <c r="F212" s="33" t="s">
        <v>1172</v>
      </c>
      <c r="H212" t="str">
        <f t="shared" si="22"/>
        <v>TS Practice India</v>
      </c>
      <c r="J212" t="str">
        <f t="shared" si="24"/>
        <v>TS_Practice_India</v>
      </c>
      <c r="K212" t="str">
        <f t="shared" si="19"/>
        <v>TS_Practice_IndiaSoftware Engineer</v>
      </c>
      <c r="M212" t="str">
        <f t="shared" si="23"/>
        <v>TS_Practice_India</v>
      </c>
      <c r="N212" s="185" t="str">
        <f t="shared" si="20"/>
        <v>Software Engineer</v>
      </c>
      <c r="O212" t="str">
        <f t="shared" si="21"/>
        <v>Rajesh Kotian</v>
      </c>
      <c r="P212" t="str" cm="1">
        <f t="array" ref="P212">INDEX(_xlfn.TEXTSPLIT(B212," "),3)</f>
        <v>India</v>
      </c>
    </row>
    <row r="213" spans="1:16" x14ac:dyDescent="0.25">
      <c r="A213" s="33" t="s">
        <v>1131</v>
      </c>
      <c r="B213" s="33" t="s">
        <v>1505</v>
      </c>
      <c r="C213" s="33" t="s">
        <v>1575</v>
      </c>
      <c r="D213" s="33" t="s">
        <v>1576</v>
      </c>
      <c r="E213" s="33" t="s">
        <v>427</v>
      </c>
      <c r="F213" s="33" t="s">
        <v>1172</v>
      </c>
      <c r="H213" t="str">
        <f t="shared" si="22"/>
        <v>TS Practice India</v>
      </c>
      <c r="J213" t="str">
        <f t="shared" si="24"/>
        <v>TS_Practice_India</v>
      </c>
      <c r="K213" t="str">
        <f t="shared" si="19"/>
        <v>TS_Practice_IndiaBusiness/Data Analyst</v>
      </c>
      <c r="M213" t="str">
        <f t="shared" si="23"/>
        <v>TS_Practice_India</v>
      </c>
      <c r="N213" s="185" t="str">
        <f t="shared" si="20"/>
        <v>Business/Data Analyst</v>
      </c>
      <c r="O213" t="str">
        <f t="shared" si="21"/>
        <v>Lalit Kumar Sahu</v>
      </c>
      <c r="P213" t="str" cm="1">
        <f t="array" ref="P213">INDEX(_xlfn.TEXTSPLIT(B213," "),3)</f>
        <v>India</v>
      </c>
    </row>
    <row r="214" spans="1:16" x14ac:dyDescent="0.25">
      <c r="A214" s="33" t="s">
        <v>1131</v>
      </c>
      <c r="B214" s="33" t="s">
        <v>1505</v>
      </c>
      <c r="C214" s="33" t="s">
        <v>1577</v>
      </c>
      <c r="D214" s="33" t="s">
        <v>1578</v>
      </c>
      <c r="E214" s="33" t="s">
        <v>226</v>
      </c>
      <c r="F214" s="33" t="s">
        <v>1172</v>
      </c>
      <c r="H214" t="str">
        <f t="shared" si="22"/>
        <v>TS Practice India</v>
      </c>
      <c r="J214" t="str">
        <f t="shared" si="24"/>
        <v>TS_Practice_India</v>
      </c>
      <c r="K214" t="str">
        <f t="shared" si="19"/>
        <v>TS_Practice_IndiaSoftware Engineer</v>
      </c>
      <c r="M214" t="str">
        <f t="shared" si="23"/>
        <v>TS_Practice_India</v>
      </c>
      <c r="N214" s="185" t="str">
        <f t="shared" si="20"/>
        <v>Software Engineer</v>
      </c>
      <c r="O214" t="str">
        <f t="shared" si="21"/>
        <v>Kishore Kumar RR</v>
      </c>
      <c r="P214" t="str" cm="1">
        <f t="array" ref="P214">INDEX(_xlfn.TEXTSPLIT(B214," "),3)</f>
        <v>India</v>
      </c>
    </row>
    <row r="215" spans="1:16" x14ac:dyDescent="0.25">
      <c r="A215" s="33" t="s">
        <v>1131</v>
      </c>
      <c r="B215" s="33" t="s">
        <v>1505</v>
      </c>
      <c r="C215" s="33" t="s">
        <v>1579</v>
      </c>
      <c r="D215" s="33" t="s">
        <v>1580</v>
      </c>
      <c r="E215" s="33" t="s">
        <v>446</v>
      </c>
      <c r="F215" s="33" t="s">
        <v>1172</v>
      </c>
      <c r="H215" t="str">
        <f t="shared" si="22"/>
        <v>TS Practice India</v>
      </c>
      <c r="J215" t="str">
        <f t="shared" si="24"/>
        <v>TS_Practice_India</v>
      </c>
      <c r="K215" t="str">
        <f t="shared" si="19"/>
        <v>TS_Practice_IndiaSr. QA Tester - Manual</v>
      </c>
      <c r="M215" t="str">
        <f t="shared" si="23"/>
        <v>TS_Practice_India</v>
      </c>
      <c r="N215" s="185" t="str">
        <f t="shared" si="20"/>
        <v>Sr. QA Tester - Manual</v>
      </c>
      <c r="O215" t="str">
        <f t="shared" si="21"/>
        <v>Shyamala Rajappa</v>
      </c>
      <c r="P215" t="str" cm="1">
        <f t="array" ref="P215">INDEX(_xlfn.TEXTSPLIT(B215," "),3)</f>
        <v>India</v>
      </c>
    </row>
    <row r="216" spans="1:16" x14ac:dyDescent="0.25">
      <c r="A216" s="33" t="s">
        <v>1131</v>
      </c>
      <c r="B216" s="33" t="s">
        <v>1505</v>
      </c>
      <c r="C216" s="33" t="s">
        <v>1581</v>
      </c>
      <c r="D216" s="33" t="s">
        <v>1582</v>
      </c>
      <c r="E216" s="33" t="s">
        <v>443</v>
      </c>
      <c r="F216" s="33" t="s">
        <v>1172</v>
      </c>
      <c r="H216" t="str">
        <f t="shared" si="22"/>
        <v>TS Practice India</v>
      </c>
      <c r="J216" t="str">
        <f t="shared" si="24"/>
        <v>TS_Practice_India</v>
      </c>
      <c r="K216" t="str">
        <f t="shared" si="19"/>
        <v>TS_Practice_IndiaSupport Engineer</v>
      </c>
      <c r="M216" t="str">
        <f t="shared" si="23"/>
        <v>TS_Practice_India</v>
      </c>
      <c r="N216" s="185" t="str">
        <f t="shared" si="20"/>
        <v>Support Engineer</v>
      </c>
      <c r="O216" t="str">
        <f t="shared" si="21"/>
        <v>Virachith Reddy Yeruva</v>
      </c>
      <c r="P216" t="str" cm="1">
        <f t="array" ref="P216">INDEX(_xlfn.TEXTSPLIT(B216," "),3)</f>
        <v>India</v>
      </c>
    </row>
    <row r="217" spans="1:16" x14ac:dyDescent="0.25">
      <c r="A217" s="33" t="s">
        <v>1131</v>
      </c>
      <c r="B217" s="33" t="s">
        <v>1505</v>
      </c>
      <c r="C217" s="33" t="s">
        <v>1583</v>
      </c>
      <c r="D217" s="33" t="s">
        <v>1270</v>
      </c>
      <c r="E217" s="33" t="s">
        <v>226</v>
      </c>
      <c r="F217" s="33" t="s">
        <v>1172</v>
      </c>
      <c r="H217" t="str">
        <f t="shared" si="22"/>
        <v>TS Practice India</v>
      </c>
      <c r="J217" t="str">
        <f t="shared" si="24"/>
        <v>TS_Practice_India</v>
      </c>
      <c r="K217" t="str">
        <f t="shared" si="19"/>
        <v>TS_Practice_IndiaSoftware Engineer</v>
      </c>
      <c r="M217" t="str">
        <f t="shared" si="23"/>
        <v>TS_Practice_India</v>
      </c>
      <c r="N217" s="185" t="str">
        <f t="shared" si="20"/>
        <v>Software Engineer</v>
      </c>
      <c r="O217" t="str">
        <f t="shared" si="21"/>
        <v>Karanraj S</v>
      </c>
      <c r="P217" t="str" cm="1">
        <f t="array" ref="P217">INDEX(_xlfn.TEXTSPLIT(B217," "),3)</f>
        <v>India</v>
      </c>
    </row>
    <row r="218" spans="1:16" x14ac:dyDescent="0.25">
      <c r="A218" s="33" t="s">
        <v>1131</v>
      </c>
      <c r="B218" s="33" t="s">
        <v>1505</v>
      </c>
      <c r="C218" s="33" t="s">
        <v>1559</v>
      </c>
      <c r="D218" s="33" t="s">
        <v>1584</v>
      </c>
      <c r="E218" s="33" t="s">
        <v>226</v>
      </c>
      <c r="F218" s="33" t="s">
        <v>1172</v>
      </c>
      <c r="H218" t="str">
        <f t="shared" si="22"/>
        <v>TS Practice India</v>
      </c>
      <c r="J218" t="str">
        <f t="shared" si="24"/>
        <v>TS_Practice_India</v>
      </c>
      <c r="K218" t="str">
        <f t="shared" si="19"/>
        <v>TS_Practice_IndiaSoftware Engineer</v>
      </c>
      <c r="M218" t="str">
        <f t="shared" si="23"/>
        <v>TS_Practice_India</v>
      </c>
      <c r="N218" s="185" t="str">
        <f t="shared" si="20"/>
        <v>Software Engineer</v>
      </c>
      <c r="O218" t="str">
        <f t="shared" si="21"/>
        <v>Parimala Gadhi</v>
      </c>
      <c r="P218" t="str" cm="1">
        <f t="array" ref="P218">INDEX(_xlfn.TEXTSPLIT(B218," "),3)</f>
        <v>India</v>
      </c>
    </row>
    <row r="219" spans="1:16" x14ac:dyDescent="0.25">
      <c r="A219" s="33" t="s">
        <v>1131</v>
      </c>
      <c r="B219" s="33" t="s">
        <v>1505</v>
      </c>
      <c r="C219" s="33" t="s">
        <v>1585</v>
      </c>
      <c r="D219" s="33" t="s">
        <v>1586</v>
      </c>
      <c r="E219" s="33" t="s">
        <v>226</v>
      </c>
      <c r="F219" s="33" t="s">
        <v>1172</v>
      </c>
      <c r="H219" t="str">
        <f t="shared" si="22"/>
        <v>TS Practice India</v>
      </c>
      <c r="J219" t="str">
        <f t="shared" si="24"/>
        <v>TS_Practice_India</v>
      </c>
      <c r="K219" t="str">
        <f t="shared" ref="K219:K267" si="25">_xlfn.CONCAT(J219,E219)</f>
        <v>TS_Practice_IndiaSoftware Engineer</v>
      </c>
      <c r="M219" t="str">
        <f t="shared" si="23"/>
        <v>TS_Practice_India</v>
      </c>
      <c r="N219" s="185" t="str">
        <f t="shared" ref="N219:N247" si="26">E219</f>
        <v>Software Engineer</v>
      </c>
      <c r="O219" t="str">
        <f t="shared" ref="O219:O247" si="27">_xlfn.CONCAT(C219," ",D219)</f>
        <v>Simran F</v>
      </c>
      <c r="P219" t="str" cm="1">
        <f t="array" ref="P219">INDEX(_xlfn.TEXTSPLIT(B219," "),3)</f>
        <v>India</v>
      </c>
    </row>
    <row r="220" spans="1:16" x14ac:dyDescent="0.25">
      <c r="A220" s="33" t="s">
        <v>1131</v>
      </c>
      <c r="B220" s="33" t="s">
        <v>1505</v>
      </c>
      <c r="C220" s="33" t="s">
        <v>1587</v>
      </c>
      <c r="D220" s="33" t="s">
        <v>1588</v>
      </c>
      <c r="E220" s="33" t="s">
        <v>446</v>
      </c>
      <c r="F220" s="33" t="s">
        <v>1172</v>
      </c>
      <c r="H220" t="str">
        <f t="shared" si="22"/>
        <v>TS Practice India</v>
      </c>
      <c r="J220" t="str">
        <f t="shared" si="24"/>
        <v>TS_Practice_India</v>
      </c>
      <c r="K220" t="str">
        <f t="shared" si="25"/>
        <v>TS_Practice_IndiaSr. QA Tester - Manual</v>
      </c>
      <c r="M220" t="str">
        <f t="shared" si="23"/>
        <v>TS_Practice_India</v>
      </c>
      <c r="N220" s="185" t="str">
        <f t="shared" si="26"/>
        <v>Sr. QA Tester - Manual</v>
      </c>
      <c r="O220" t="str">
        <f t="shared" si="27"/>
        <v>Tamilselvi Vellingiri</v>
      </c>
      <c r="P220" t="str" cm="1">
        <f t="array" ref="P220">INDEX(_xlfn.TEXTSPLIT(B220," "),3)</f>
        <v>India</v>
      </c>
    </row>
    <row r="221" spans="1:16" x14ac:dyDescent="0.25">
      <c r="A221" s="33" t="s">
        <v>1131</v>
      </c>
      <c r="B221" s="33" t="s">
        <v>1505</v>
      </c>
      <c r="C221" s="33" t="s">
        <v>1589</v>
      </c>
      <c r="D221" s="33" t="s">
        <v>1590</v>
      </c>
      <c r="E221" s="33" t="s">
        <v>484</v>
      </c>
      <c r="F221" s="33" t="s">
        <v>1172</v>
      </c>
      <c r="H221" t="str">
        <f t="shared" ref="H221:H278" si="28">SUBSTITUTE(SUBSTITUTE(B221,"Organizational Effectiveness","EPM"),"CPM","EPM")</f>
        <v>TS Practice India</v>
      </c>
      <c r="J221" t="str">
        <f t="shared" si="24"/>
        <v>TS_Practice_India</v>
      </c>
      <c r="K221" t="str">
        <f t="shared" si="25"/>
        <v>TS_Practice_IndiaQA Tester - Manual</v>
      </c>
      <c r="M221" t="str">
        <f t="shared" si="23"/>
        <v>TS_Practice_India</v>
      </c>
      <c r="N221" s="185" t="str">
        <f t="shared" si="26"/>
        <v>QA Tester - Manual</v>
      </c>
      <c r="O221" t="str">
        <f t="shared" si="27"/>
        <v>Yogalakshmi R</v>
      </c>
      <c r="P221" t="str" cm="1">
        <f t="array" ref="P221">INDEX(_xlfn.TEXTSPLIT(B221," "),3)</f>
        <v>India</v>
      </c>
    </row>
    <row r="222" spans="1:16" x14ac:dyDescent="0.25">
      <c r="A222" s="33" t="s">
        <v>1131</v>
      </c>
      <c r="B222" s="33" t="s">
        <v>1505</v>
      </c>
      <c r="C222" s="33" t="s">
        <v>1591</v>
      </c>
      <c r="D222" s="33" t="s">
        <v>1592</v>
      </c>
      <c r="E222" s="33" t="s">
        <v>448</v>
      </c>
      <c r="F222" s="33" t="s">
        <v>1172</v>
      </c>
      <c r="H222" t="str">
        <f t="shared" si="28"/>
        <v>TS Practice India</v>
      </c>
      <c r="J222" t="str">
        <f t="shared" si="24"/>
        <v>TS_Practice_India</v>
      </c>
      <c r="K222" t="str">
        <f t="shared" si="25"/>
        <v>TS_Practice_IndiaSr. Developer</v>
      </c>
      <c r="M222" t="str">
        <f t="shared" si="23"/>
        <v>TS_Practice_India</v>
      </c>
      <c r="N222" s="185" t="str">
        <f t="shared" si="26"/>
        <v>Sr. Developer</v>
      </c>
      <c r="O222" t="str">
        <f t="shared" si="27"/>
        <v>Vidhya Subramaniam</v>
      </c>
      <c r="P222" t="str" cm="1">
        <f t="array" ref="P222">INDEX(_xlfn.TEXTSPLIT(B222," "),3)</f>
        <v>India</v>
      </c>
    </row>
    <row r="223" spans="1:16" x14ac:dyDescent="0.25">
      <c r="A223" s="33" t="s">
        <v>1131</v>
      </c>
      <c r="B223" s="33" t="s">
        <v>1505</v>
      </c>
      <c r="C223" s="33" t="s">
        <v>1593</v>
      </c>
      <c r="D223" s="33" t="s">
        <v>1594</v>
      </c>
      <c r="E223" s="33" t="s">
        <v>470</v>
      </c>
      <c r="F223" s="33" t="s">
        <v>1172</v>
      </c>
      <c r="H223" t="str">
        <f t="shared" si="28"/>
        <v>TS Practice India</v>
      </c>
      <c r="J223" t="str">
        <f t="shared" si="24"/>
        <v>TS_Practice_India</v>
      </c>
      <c r="K223" t="str">
        <f t="shared" si="25"/>
        <v>TS_Practice_IndiaTechnical Lead</v>
      </c>
      <c r="M223" t="str">
        <f t="shared" si="23"/>
        <v>TS_Practice_India</v>
      </c>
      <c r="N223" s="185" t="str">
        <f t="shared" si="26"/>
        <v>Technical Lead</v>
      </c>
      <c r="O223" t="str">
        <f t="shared" si="27"/>
        <v>Sahitya Chadaram</v>
      </c>
      <c r="P223" t="str" cm="1">
        <f t="array" ref="P223">INDEX(_xlfn.TEXTSPLIT(B223," "),3)</f>
        <v>India</v>
      </c>
    </row>
    <row r="224" spans="1:16" x14ac:dyDescent="0.25">
      <c r="A224" s="33" t="s">
        <v>1131</v>
      </c>
      <c r="B224" s="33" t="s">
        <v>1505</v>
      </c>
      <c r="C224" s="33" t="s">
        <v>1595</v>
      </c>
      <c r="D224" s="33" t="s">
        <v>1182</v>
      </c>
      <c r="E224" s="33" t="s">
        <v>446</v>
      </c>
      <c r="F224" s="33" t="s">
        <v>1172</v>
      </c>
      <c r="H224" t="str">
        <f t="shared" si="28"/>
        <v>TS Practice India</v>
      </c>
      <c r="J224" t="str">
        <f t="shared" si="24"/>
        <v>TS_Practice_India</v>
      </c>
      <c r="K224" t="str">
        <f t="shared" si="25"/>
        <v>TS_Practice_IndiaSr. QA Tester - Manual</v>
      </c>
      <c r="M224" t="str">
        <f t="shared" si="23"/>
        <v>TS_Practice_India</v>
      </c>
      <c r="N224" s="185" t="str">
        <f t="shared" si="26"/>
        <v>Sr. QA Tester - Manual</v>
      </c>
      <c r="O224" t="str">
        <f t="shared" si="27"/>
        <v>Divya M</v>
      </c>
      <c r="P224" t="str" cm="1">
        <f t="array" ref="P224">INDEX(_xlfn.TEXTSPLIT(B224," "),3)</f>
        <v>India</v>
      </c>
    </row>
    <row r="225" spans="1:16" x14ac:dyDescent="0.25">
      <c r="A225" s="33" t="s">
        <v>1131</v>
      </c>
      <c r="B225" s="33" t="s">
        <v>1505</v>
      </c>
      <c r="C225" s="33" t="s">
        <v>1596</v>
      </c>
      <c r="D225" s="33" t="s">
        <v>1597</v>
      </c>
      <c r="E225" s="33" t="s">
        <v>226</v>
      </c>
      <c r="F225" s="33" t="s">
        <v>1172</v>
      </c>
      <c r="H225" t="str">
        <f t="shared" si="28"/>
        <v>TS Practice India</v>
      </c>
      <c r="J225" t="str">
        <f t="shared" si="24"/>
        <v>TS_Practice_India</v>
      </c>
      <c r="K225" t="str">
        <f t="shared" si="25"/>
        <v>TS_Practice_IndiaSoftware Engineer</v>
      </c>
      <c r="M225" t="str">
        <f t="shared" si="23"/>
        <v>TS_Practice_India</v>
      </c>
      <c r="N225" s="185" t="str">
        <f t="shared" si="26"/>
        <v>Software Engineer</v>
      </c>
      <c r="O225" t="str">
        <f t="shared" si="27"/>
        <v>Navashanmugam Asokan</v>
      </c>
      <c r="P225" t="str" cm="1">
        <f t="array" ref="P225">INDEX(_xlfn.TEXTSPLIT(B225," "),3)</f>
        <v>India</v>
      </c>
    </row>
    <row r="226" spans="1:16" x14ac:dyDescent="0.25">
      <c r="A226" s="33" t="s">
        <v>1131</v>
      </c>
      <c r="B226" s="33" t="s">
        <v>1505</v>
      </c>
      <c r="C226" s="33" t="s">
        <v>1598</v>
      </c>
      <c r="D226" s="33" t="s">
        <v>1599</v>
      </c>
      <c r="E226" s="33" t="s">
        <v>468</v>
      </c>
      <c r="F226" s="33" t="s">
        <v>1172</v>
      </c>
      <c r="H226" t="str">
        <f t="shared" si="28"/>
        <v>TS Practice India</v>
      </c>
      <c r="J226" t="str">
        <f t="shared" si="24"/>
        <v>TS_Practice_India</v>
      </c>
      <c r="K226" t="str">
        <f t="shared" si="25"/>
        <v>TS_Practice_IndiaSr. QA Tester - Automation</v>
      </c>
      <c r="M226" t="str">
        <f t="shared" si="23"/>
        <v>TS_Practice_India</v>
      </c>
      <c r="N226" s="185" t="str">
        <f t="shared" si="26"/>
        <v>Sr. QA Tester - Automation</v>
      </c>
      <c r="O226" t="str">
        <f t="shared" si="27"/>
        <v>Sarankumar Kanagaraj</v>
      </c>
      <c r="P226" t="str" cm="1">
        <f t="array" ref="P226">INDEX(_xlfn.TEXTSPLIT(B226," "),3)</f>
        <v>India</v>
      </c>
    </row>
    <row r="227" spans="1:16" x14ac:dyDescent="0.25">
      <c r="A227" s="33" t="s">
        <v>1131</v>
      </c>
      <c r="B227" s="33" t="s">
        <v>1505</v>
      </c>
      <c r="C227" s="33" t="s">
        <v>1600</v>
      </c>
      <c r="D227" s="33" t="s">
        <v>1582</v>
      </c>
      <c r="E227" s="33" t="s">
        <v>427</v>
      </c>
      <c r="F227" s="33" t="s">
        <v>1172</v>
      </c>
      <c r="H227" t="str">
        <f t="shared" si="28"/>
        <v>TS Practice India</v>
      </c>
      <c r="J227" t="str">
        <f t="shared" si="24"/>
        <v>TS_Practice_India</v>
      </c>
      <c r="K227" t="str">
        <f t="shared" si="25"/>
        <v>TS_Practice_IndiaBusiness/Data Analyst</v>
      </c>
      <c r="M227" t="str">
        <f t="shared" si="23"/>
        <v>TS_Practice_India</v>
      </c>
      <c r="N227" s="185" t="str">
        <f t="shared" si="26"/>
        <v>Business/Data Analyst</v>
      </c>
      <c r="O227" t="str">
        <f t="shared" si="27"/>
        <v>Mithila Sree Yeruva</v>
      </c>
      <c r="P227" t="str" cm="1">
        <f t="array" ref="P227">INDEX(_xlfn.TEXTSPLIT(B227," "),3)</f>
        <v>India</v>
      </c>
    </row>
    <row r="228" spans="1:16" x14ac:dyDescent="0.25">
      <c r="A228" s="33" t="s">
        <v>1131</v>
      </c>
      <c r="B228" s="33" t="s">
        <v>1505</v>
      </c>
      <c r="C228" s="33" t="s">
        <v>1601</v>
      </c>
      <c r="D228" s="33" t="s">
        <v>1602</v>
      </c>
      <c r="E228" s="33" t="s">
        <v>432</v>
      </c>
      <c r="F228" s="33" t="s">
        <v>1172</v>
      </c>
      <c r="H228" t="str">
        <f t="shared" si="28"/>
        <v>TS Practice India</v>
      </c>
      <c r="J228" t="str">
        <f t="shared" si="24"/>
        <v>TS_Practice_India</v>
      </c>
      <c r="K228" t="str">
        <f t="shared" si="25"/>
        <v>TS_Practice_IndiaDeveloper</v>
      </c>
      <c r="M228" t="str">
        <f t="shared" si="23"/>
        <v>TS_Practice_India</v>
      </c>
      <c r="N228" s="185" t="str">
        <f t="shared" si="26"/>
        <v>Developer</v>
      </c>
      <c r="O228" t="str">
        <f t="shared" si="27"/>
        <v>Karthickeyyan Perumalsamy</v>
      </c>
      <c r="P228" t="str" cm="1">
        <f t="array" ref="P228">INDEX(_xlfn.TEXTSPLIT(B228," "),3)</f>
        <v>India</v>
      </c>
    </row>
    <row r="229" spans="1:16" x14ac:dyDescent="0.25">
      <c r="A229" s="33" t="s">
        <v>1131</v>
      </c>
      <c r="B229" s="33" t="s">
        <v>1505</v>
      </c>
      <c r="C229" s="33" t="s">
        <v>1603</v>
      </c>
      <c r="D229" s="33" t="s">
        <v>1604</v>
      </c>
      <c r="E229" s="33" t="s">
        <v>446</v>
      </c>
      <c r="F229" s="33" t="s">
        <v>1172</v>
      </c>
      <c r="H229" t="str">
        <f t="shared" si="28"/>
        <v>TS Practice India</v>
      </c>
      <c r="J229" t="str">
        <f t="shared" si="24"/>
        <v>TS_Practice_India</v>
      </c>
      <c r="K229" t="str">
        <f t="shared" si="25"/>
        <v>TS_Practice_IndiaSr. QA Tester - Manual</v>
      </c>
      <c r="M229" t="str">
        <f t="shared" si="23"/>
        <v>TS_Practice_India</v>
      </c>
      <c r="N229" s="185" t="str">
        <f t="shared" si="26"/>
        <v>Sr. QA Tester - Manual</v>
      </c>
      <c r="O229" t="str">
        <f t="shared" si="27"/>
        <v>Swarna Maran</v>
      </c>
      <c r="P229" t="str" cm="1">
        <f t="array" ref="P229">INDEX(_xlfn.TEXTSPLIT(B229," "),3)</f>
        <v>India</v>
      </c>
    </row>
    <row r="230" spans="1:16" x14ac:dyDescent="0.25">
      <c r="A230" s="33" t="s">
        <v>1131</v>
      </c>
      <c r="B230" s="33" t="s">
        <v>1505</v>
      </c>
      <c r="C230" s="33" t="s">
        <v>1605</v>
      </c>
      <c r="D230" s="33" t="s">
        <v>1606</v>
      </c>
      <c r="E230" s="33" t="s">
        <v>448</v>
      </c>
      <c r="F230" s="33" t="s">
        <v>1172</v>
      </c>
      <c r="H230" t="str">
        <f t="shared" si="28"/>
        <v>TS Practice India</v>
      </c>
      <c r="J230" t="str">
        <f t="shared" si="24"/>
        <v>TS_Practice_India</v>
      </c>
      <c r="K230" t="str">
        <f t="shared" si="25"/>
        <v>TS_Practice_IndiaSr. Developer</v>
      </c>
      <c r="M230" t="str">
        <f t="shared" si="23"/>
        <v>TS_Practice_India</v>
      </c>
      <c r="N230" s="185" t="str">
        <f t="shared" si="26"/>
        <v>Sr. Developer</v>
      </c>
      <c r="O230" t="str">
        <f t="shared" si="27"/>
        <v>Krithika Balasubramani</v>
      </c>
      <c r="P230" t="str" cm="1">
        <f t="array" ref="P230">INDEX(_xlfn.TEXTSPLIT(B230," "),3)</f>
        <v>India</v>
      </c>
    </row>
    <row r="231" spans="1:16" x14ac:dyDescent="0.25">
      <c r="A231" s="33" t="s">
        <v>1131</v>
      </c>
      <c r="B231" s="33" t="s">
        <v>1505</v>
      </c>
      <c r="C231" s="33" t="s">
        <v>1607</v>
      </c>
      <c r="D231" s="33" t="s">
        <v>1608</v>
      </c>
      <c r="E231" s="33" t="s">
        <v>484</v>
      </c>
      <c r="F231" s="33" t="s">
        <v>1172</v>
      </c>
      <c r="H231" t="str">
        <f t="shared" si="28"/>
        <v>TS Practice India</v>
      </c>
      <c r="J231" t="str">
        <f t="shared" si="24"/>
        <v>TS_Practice_India</v>
      </c>
      <c r="K231" t="str">
        <f t="shared" si="25"/>
        <v>TS_Practice_IndiaQA Tester - Manual</v>
      </c>
      <c r="M231" t="str">
        <f t="shared" si="23"/>
        <v>TS_Practice_India</v>
      </c>
      <c r="N231" s="185" t="str">
        <f t="shared" si="26"/>
        <v>QA Tester - Manual</v>
      </c>
      <c r="O231" t="str">
        <f t="shared" si="27"/>
        <v>Suhail Pasha</v>
      </c>
      <c r="P231" t="str" cm="1">
        <f t="array" ref="P231">INDEX(_xlfn.TEXTSPLIT(B231," "),3)</f>
        <v>India</v>
      </c>
    </row>
    <row r="232" spans="1:16" x14ac:dyDescent="0.25">
      <c r="A232" s="33" t="s">
        <v>1131</v>
      </c>
      <c r="B232" s="33" t="s">
        <v>1505</v>
      </c>
      <c r="C232" s="33" t="s">
        <v>1609</v>
      </c>
      <c r="D232" s="33" t="s">
        <v>1610</v>
      </c>
      <c r="E232" s="33" t="s">
        <v>226</v>
      </c>
      <c r="F232" s="33" t="s">
        <v>1172</v>
      </c>
      <c r="H232" t="str">
        <f t="shared" si="28"/>
        <v>TS Practice India</v>
      </c>
      <c r="J232" t="str">
        <f t="shared" si="24"/>
        <v>TS_Practice_India</v>
      </c>
      <c r="K232" t="str">
        <f t="shared" si="25"/>
        <v>TS_Practice_IndiaSoftware Engineer</v>
      </c>
      <c r="M232" t="str">
        <f t="shared" si="23"/>
        <v>TS_Practice_India</v>
      </c>
      <c r="N232" s="185" t="str">
        <f t="shared" si="26"/>
        <v>Software Engineer</v>
      </c>
      <c r="O232" t="str">
        <f t="shared" si="27"/>
        <v>Dhakshnamoorthi Tamilmani</v>
      </c>
      <c r="P232" t="str" cm="1">
        <f t="array" ref="P232">INDEX(_xlfn.TEXTSPLIT(B232," "),3)</f>
        <v>India</v>
      </c>
    </row>
    <row r="233" spans="1:16" x14ac:dyDescent="0.25">
      <c r="A233" s="33" t="s">
        <v>1131</v>
      </c>
      <c r="B233" s="33" t="s">
        <v>1505</v>
      </c>
      <c r="C233" s="33" t="s">
        <v>1611</v>
      </c>
      <c r="D233" s="33" t="s">
        <v>1612</v>
      </c>
      <c r="E233" s="33" t="s">
        <v>226</v>
      </c>
      <c r="F233" s="33" t="s">
        <v>1172</v>
      </c>
      <c r="H233" t="str">
        <f t="shared" si="28"/>
        <v>TS Practice India</v>
      </c>
      <c r="J233" t="str">
        <f t="shared" si="24"/>
        <v>TS_Practice_India</v>
      </c>
      <c r="K233" t="str">
        <f t="shared" si="25"/>
        <v>TS_Practice_IndiaSoftware Engineer</v>
      </c>
      <c r="M233" t="str">
        <f t="shared" si="23"/>
        <v>TS_Practice_India</v>
      </c>
      <c r="N233" s="185" t="str">
        <f t="shared" si="26"/>
        <v>Software Engineer</v>
      </c>
      <c r="O233" t="str">
        <f t="shared" si="27"/>
        <v>Raghul Vijay R</v>
      </c>
      <c r="P233" t="str" cm="1">
        <f t="array" ref="P233">INDEX(_xlfn.TEXTSPLIT(B233," "),3)</f>
        <v>India</v>
      </c>
    </row>
    <row r="234" spans="1:16" x14ac:dyDescent="0.25">
      <c r="A234" s="33" t="s">
        <v>1131</v>
      </c>
      <c r="B234" s="33" t="s">
        <v>1505</v>
      </c>
      <c r="C234" s="33" t="s">
        <v>1285</v>
      </c>
      <c r="D234" s="33" t="s">
        <v>1613</v>
      </c>
      <c r="E234" s="33" t="s">
        <v>226</v>
      </c>
      <c r="F234" s="33" t="s">
        <v>1172</v>
      </c>
      <c r="H234" t="str">
        <f t="shared" si="28"/>
        <v>TS Practice India</v>
      </c>
      <c r="J234" t="str">
        <f t="shared" si="24"/>
        <v>TS_Practice_India</v>
      </c>
      <c r="K234" t="str">
        <f t="shared" si="25"/>
        <v>TS_Practice_IndiaSoftware Engineer</v>
      </c>
      <c r="M234" t="str">
        <f t="shared" si="23"/>
        <v>TS_Practice_India</v>
      </c>
      <c r="N234" s="185" t="str">
        <f t="shared" si="26"/>
        <v>Software Engineer</v>
      </c>
      <c r="O234" t="str">
        <f t="shared" si="27"/>
        <v>Balaji Chandrasekar</v>
      </c>
      <c r="P234" t="str" cm="1">
        <f t="array" ref="P234">INDEX(_xlfn.TEXTSPLIT(B234," "),3)</f>
        <v>India</v>
      </c>
    </row>
    <row r="235" spans="1:16" x14ac:dyDescent="0.25">
      <c r="A235" s="33" t="s">
        <v>1131</v>
      </c>
      <c r="B235" s="33" t="s">
        <v>1505</v>
      </c>
      <c r="C235" s="33" t="s">
        <v>1614</v>
      </c>
      <c r="D235" s="33" t="s">
        <v>1615</v>
      </c>
      <c r="E235" s="33" t="s">
        <v>446</v>
      </c>
      <c r="F235" s="33" t="s">
        <v>1172</v>
      </c>
      <c r="H235" t="str">
        <f t="shared" si="28"/>
        <v>TS Practice India</v>
      </c>
      <c r="J235" t="str">
        <f t="shared" si="24"/>
        <v>TS_Practice_India</v>
      </c>
      <c r="K235" t="str">
        <f t="shared" si="25"/>
        <v>TS_Practice_IndiaSr. QA Tester - Manual</v>
      </c>
      <c r="M235" t="str">
        <f t="shared" si="23"/>
        <v>TS_Practice_India</v>
      </c>
      <c r="N235" s="185" t="str">
        <f t="shared" si="26"/>
        <v>Sr. QA Tester - Manual</v>
      </c>
      <c r="O235" t="str">
        <f t="shared" si="27"/>
        <v>Subash Balakrishnan</v>
      </c>
      <c r="P235" t="str" cm="1">
        <f t="array" ref="P235">INDEX(_xlfn.TEXTSPLIT(B235," "),3)</f>
        <v>India</v>
      </c>
    </row>
    <row r="236" spans="1:16" x14ac:dyDescent="0.25">
      <c r="A236" s="33" t="s">
        <v>1131</v>
      </c>
      <c r="B236" s="33" t="s">
        <v>1505</v>
      </c>
      <c r="C236" s="33" t="s">
        <v>1616</v>
      </c>
      <c r="D236" s="33" t="s">
        <v>1617</v>
      </c>
      <c r="E236" s="33" t="s">
        <v>448</v>
      </c>
      <c r="F236" s="33" t="s">
        <v>1172</v>
      </c>
      <c r="H236" t="str">
        <f t="shared" si="28"/>
        <v>TS Practice India</v>
      </c>
      <c r="J236" t="str">
        <f t="shared" si="24"/>
        <v>TS_Practice_India</v>
      </c>
      <c r="K236" t="str">
        <f t="shared" si="25"/>
        <v>TS_Practice_IndiaSr. Developer</v>
      </c>
      <c r="M236" t="str">
        <f t="shared" si="23"/>
        <v>TS_Practice_India</v>
      </c>
      <c r="N236" s="185" t="str">
        <f t="shared" si="26"/>
        <v>Sr. Developer</v>
      </c>
      <c r="O236" t="str">
        <f t="shared" si="27"/>
        <v>Shanmugapriya Velusamy</v>
      </c>
      <c r="P236" t="str" cm="1">
        <f t="array" ref="P236">INDEX(_xlfn.TEXTSPLIT(B236," "),3)</f>
        <v>India</v>
      </c>
    </row>
    <row r="237" spans="1:16" x14ac:dyDescent="0.25">
      <c r="A237" s="33" t="s">
        <v>1131</v>
      </c>
      <c r="B237" s="33" t="s">
        <v>1505</v>
      </c>
      <c r="C237" s="33" t="s">
        <v>1618</v>
      </c>
      <c r="D237" s="33" t="s">
        <v>1619</v>
      </c>
      <c r="E237" s="33" t="s">
        <v>458</v>
      </c>
      <c r="F237" s="33" t="s">
        <v>1172</v>
      </c>
      <c r="H237" t="str">
        <f t="shared" si="28"/>
        <v>TS Practice India</v>
      </c>
      <c r="J237" t="str">
        <f t="shared" si="24"/>
        <v>TS_Practice_India</v>
      </c>
      <c r="K237" t="str">
        <f t="shared" si="25"/>
        <v>TS_Practice_IndiaService Delivery Manager</v>
      </c>
      <c r="M237" t="str">
        <f t="shared" si="23"/>
        <v>TS_Practice_India</v>
      </c>
      <c r="N237" s="185" t="str">
        <f t="shared" si="26"/>
        <v>Service Delivery Manager</v>
      </c>
      <c r="O237" t="str">
        <f t="shared" si="27"/>
        <v>Santhosh Manikantan</v>
      </c>
      <c r="P237" t="str" cm="1">
        <f t="array" ref="P237">INDEX(_xlfn.TEXTSPLIT(B237," "),3)</f>
        <v>India</v>
      </c>
    </row>
    <row r="238" spans="1:16" x14ac:dyDescent="0.25">
      <c r="A238" s="33" t="s">
        <v>1131</v>
      </c>
      <c r="B238" s="33" t="s">
        <v>1505</v>
      </c>
      <c r="C238" s="33" t="s">
        <v>1620</v>
      </c>
      <c r="D238" s="33" t="s">
        <v>1621</v>
      </c>
      <c r="E238" s="33" t="s">
        <v>470</v>
      </c>
      <c r="F238" s="33" t="s">
        <v>1172</v>
      </c>
      <c r="H238" t="str">
        <f t="shared" si="28"/>
        <v>TS Practice India</v>
      </c>
      <c r="J238" t="str">
        <f t="shared" si="24"/>
        <v>TS_Practice_India</v>
      </c>
      <c r="K238" t="str">
        <f t="shared" si="25"/>
        <v>TS_Practice_IndiaTechnical Lead</v>
      </c>
      <c r="M238" t="str">
        <f t="shared" si="23"/>
        <v>TS_Practice_India</v>
      </c>
      <c r="N238" s="185" t="str">
        <f t="shared" si="26"/>
        <v>Technical Lead</v>
      </c>
      <c r="O238" t="str">
        <f t="shared" si="27"/>
        <v>Raviraj Narayanan</v>
      </c>
      <c r="P238" t="str" cm="1">
        <f t="array" ref="P238">INDEX(_xlfn.TEXTSPLIT(B238," "),3)</f>
        <v>India</v>
      </c>
    </row>
    <row r="239" spans="1:16" x14ac:dyDescent="0.25">
      <c r="A239" s="33" t="s">
        <v>1131</v>
      </c>
      <c r="B239" s="33" t="s">
        <v>1505</v>
      </c>
      <c r="C239" s="33" t="s">
        <v>1622</v>
      </c>
      <c r="D239" s="33" t="s">
        <v>1623</v>
      </c>
      <c r="E239" s="33" t="s">
        <v>432</v>
      </c>
      <c r="F239" s="33" t="s">
        <v>1172</v>
      </c>
      <c r="H239" t="str">
        <f t="shared" si="28"/>
        <v>TS Practice India</v>
      </c>
      <c r="J239" t="str">
        <f t="shared" si="24"/>
        <v>TS_Practice_India</v>
      </c>
      <c r="K239" t="str">
        <f t="shared" si="25"/>
        <v>TS_Practice_IndiaDeveloper</v>
      </c>
      <c r="M239" t="str">
        <f t="shared" si="23"/>
        <v>TS_Practice_India</v>
      </c>
      <c r="N239" s="185" t="str">
        <f t="shared" si="26"/>
        <v>Developer</v>
      </c>
      <c r="O239" t="str">
        <f t="shared" si="27"/>
        <v>Ravi Teja Adari</v>
      </c>
      <c r="P239" t="str" cm="1">
        <f t="array" ref="P239">INDEX(_xlfn.TEXTSPLIT(B239," "),3)</f>
        <v>India</v>
      </c>
    </row>
    <row r="240" spans="1:16" x14ac:dyDescent="0.25">
      <c r="A240" s="33" t="s">
        <v>1131</v>
      </c>
      <c r="B240" s="33" t="s">
        <v>1505</v>
      </c>
      <c r="C240" s="33" t="s">
        <v>1624</v>
      </c>
      <c r="D240" s="33" t="s">
        <v>1625</v>
      </c>
      <c r="E240" s="33" t="s">
        <v>504</v>
      </c>
      <c r="F240" s="33" t="s">
        <v>1172</v>
      </c>
      <c r="H240" t="str">
        <f t="shared" si="28"/>
        <v>TS Practice India</v>
      </c>
      <c r="J240" t="str">
        <f t="shared" si="24"/>
        <v>TS_Practice_India</v>
      </c>
      <c r="K240" t="str">
        <f t="shared" si="25"/>
        <v>TS_Practice_IndiaSr. Technical Lead</v>
      </c>
      <c r="M240" t="str">
        <f t="shared" si="23"/>
        <v>TS_Practice_India</v>
      </c>
      <c r="N240" s="185" t="str">
        <f t="shared" si="26"/>
        <v>Sr. Technical Lead</v>
      </c>
      <c r="O240" t="str">
        <f t="shared" si="27"/>
        <v>Ram Prasad Reddy Siddireddy</v>
      </c>
      <c r="P240" t="str" cm="1">
        <f t="array" ref="P240">INDEX(_xlfn.TEXTSPLIT(B240," "),3)</f>
        <v>India</v>
      </c>
    </row>
    <row r="241" spans="1:16" x14ac:dyDescent="0.25">
      <c r="A241" s="33" t="s">
        <v>1131</v>
      </c>
      <c r="B241" s="33" t="s">
        <v>1505</v>
      </c>
      <c r="C241" s="33" t="s">
        <v>1626</v>
      </c>
      <c r="D241" s="33" t="s">
        <v>1627</v>
      </c>
      <c r="E241" s="33" t="s">
        <v>506</v>
      </c>
      <c r="F241" s="33" t="s">
        <v>1172</v>
      </c>
      <c r="H241" t="str">
        <f t="shared" si="28"/>
        <v>TS Practice India</v>
      </c>
      <c r="J241" t="str">
        <f t="shared" si="24"/>
        <v>TS_Practice_India</v>
      </c>
      <c r="K241" t="str">
        <f t="shared" si="25"/>
        <v>TS_Practice_IndiaSr. DBA</v>
      </c>
      <c r="M241" t="str">
        <f t="shared" si="23"/>
        <v>TS_Practice_India</v>
      </c>
      <c r="N241" s="185" t="str">
        <f t="shared" si="26"/>
        <v>Sr. DBA</v>
      </c>
      <c r="O241" t="str">
        <f t="shared" si="27"/>
        <v>Priyanka Nagesh Ladage</v>
      </c>
      <c r="P241" t="str" cm="1">
        <f t="array" ref="P241">INDEX(_xlfn.TEXTSPLIT(B241," "),3)</f>
        <v>India</v>
      </c>
    </row>
    <row r="242" spans="1:16" x14ac:dyDescent="0.25">
      <c r="A242" s="33" t="s">
        <v>1131</v>
      </c>
      <c r="B242" s="33" t="s">
        <v>1505</v>
      </c>
      <c r="C242" s="33" t="s">
        <v>1208</v>
      </c>
      <c r="D242" s="33" t="s">
        <v>1628</v>
      </c>
      <c r="E242" s="33" t="s">
        <v>448</v>
      </c>
      <c r="F242" s="33" t="s">
        <v>1172</v>
      </c>
      <c r="H242" t="str">
        <f t="shared" si="28"/>
        <v>TS Practice India</v>
      </c>
      <c r="J242" t="str">
        <f t="shared" si="24"/>
        <v>TS_Practice_India</v>
      </c>
      <c r="K242" t="str">
        <f t="shared" si="25"/>
        <v>TS_Practice_IndiaSr. Developer</v>
      </c>
      <c r="M242" t="str">
        <f t="shared" si="23"/>
        <v>TS_Practice_India</v>
      </c>
      <c r="N242" s="185" t="str">
        <f t="shared" si="26"/>
        <v>Sr. Developer</v>
      </c>
      <c r="O242" t="str">
        <f t="shared" si="27"/>
        <v>Prakash Gummadi</v>
      </c>
      <c r="P242" t="str" cm="1">
        <f t="array" ref="P242">INDEX(_xlfn.TEXTSPLIT(B242," "),3)</f>
        <v>India</v>
      </c>
    </row>
    <row r="243" spans="1:16" x14ac:dyDescent="0.25">
      <c r="A243" s="33" t="s">
        <v>1131</v>
      </c>
      <c r="B243" s="33" t="s">
        <v>1505</v>
      </c>
      <c r="C243" s="33" t="s">
        <v>1629</v>
      </c>
      <c r="D243" s="33" t="s">
        <v>1630</v>
      </c>
      <c r="E243" s="33" t="s">
        <v>443</v>
      </c>
      <c r="F243" s="33" t="s">
        <v>1172</v>
      </c>
      <c r="H243" t="str">
        <f t="shared" si="28"/>
        <v>TS Practice India</v>
      </c>
      <c r="J243" t="str">
        <f t="shared" si="24"/>
        <v>TS_Practice_India</v>
      </c>
      <c r="K243" t="str">
        <f t="shared" si="25"/>
        <v>TS_Practice_IndiaSupport Engineer</v>
      </c>
      <c r="M243" t="str">
        <f t="shared" si="23"/>
        <v>TS_Practice_India</v>
      </c>
      <c r="N243" s="185" t="str">
        <f t="shared" si="26"/>
        <v>Support Engineer</v>
      </c>
      <c r="O243" t="str">
        <f t="shared" si="27"/>
        <v>Pallavi Ajinkya Shelke</v>
      </c>
      <c r="P243" t="str" cm="1">
        <f t="array" ref="P243">INDEX(_xlfn.TEXTSPLIT(B243," "),3)</f>
        <v>India</v>
      </c>
    </row>
    <row r="244" spans="1:16" x14ac:dyDescent="0.25">
      <c r="A244" s="33" t="s">
        <v>1131</v>
      </c>
      <c r="B244" s="33" t="s">
        <v>1505</v>
      </c>
      <c r="C244" s="33" t="s">
        <v>1631</v>
      </c>
      <c r="D244" s="33" t="s">
        <v>1632</v>
      </c>
      <c r="E244" s="33" t="s">
        <v>468</v>
      </c>
      <c r="F244" s="33" t="s">
        <v>1172</v>
      </c>
      <c r="H244" t="str">
        <f t="shared" si="28"/>
        <v>TS Practice India</v>
      </c>
      <c r="J244" t="str">
        <f t="shared" si="24"/>
        <v>TS_Practice_India</v>
      </c>
      <c r="K244" t="str">
        <f t="shared" si="25"/>
        <v>TS_Practice_IndiaSr. QA Tester - Automation</v>
      </c>
      <c r="M244" t="str">
        <f t="shared" si="23"/>
        <v>TS_Practice_India</v>
      </c>
      <c r="N244" s="185" t="str">
        <f t="shared" si="26"/>
        <v>Sr. QA Tester - Automation</v>
      </c>
      <c r="O244" t="str">
        <f t="shared" si="27"/>
        <v>Maniyarasan Nagarajan</v>
      </c>
      <c r="P244" t="str" cm="1">
        <f t="array" ref="P244">INDEX(_xlfn.TEXTSPLIT(B244," "),3)</f>
        <v>India</v>
      </c>
    </row>
    <row r="245" spans="1:16" x14ac:dyDescent="0.25">
      <c r="A245" s="33" t="s">
        <v>1131</v>
      </c>
      <c r="B245" s="33" t="s">
        <v>1505</v>
      </c>
      <c r="C245" s="33" t="s">
        <v>1633</v>
      </c>
      <c r="D245" s="33" t="s">
        <v>1634</v>
      </c>
      <c r="E245" s="33" t="s">
        <v>226</v>
      </c>
      <c r="F245" s="33" t="s">
        <v>1172</v>
      </c>
      <c r="H245" t="str">
        <f t="shared" si="28"/>
        <v>TS Practice India</v>
      </c>
      <c r="J245" t="str">
        <f t="shared" si="24"/>
        <v>TS_Practice_India</v>
      </c>
      <c r="K245" t="str">
        <f t="shared" si="25"/>
        <v>TS_Practice_IndiaSoftware Engineer</v>
      </c>
      <c r="M245" t="str">
        <f t="shared" si="23"/>
        <v>TS_Practice_India</v>
      </c>
      <c r="N245" s="185" t="str">
        <f t="shared" si="26"/>
        <v>Software Engineer</v>
      </c>
      <c r="O245" t="str">
        <f t="shared" si="27"/>
        <v>Madhu Kochar</v>
      </c>
      <c r="P245" t="str" cm="1">
        <f t="array" ref="P245">INDEX(_xlfn.TEXTSPLIT(B245," "),3)</f>
        <v>India</v>
      </c>
    </row>
    <row r="246" spans="1:16" x14ac:dyDescent="0.25">
      <c r="A246" s="33" t="s">
        <v>1131</v>
      </c>
      <c r="B246" s="33" t="s">
        <v>1505</v>
      </c>
      <c r="C246" s="33" t="s">
        <v>1635</v>
      </c>
      <c r="D246" s="33" t="s">
        <v>1636</v>
      </c>
      <c r="E246" s="33" t="s">
        <v>448</v>
      </c>
      <c r="F246" s="33" t="s">
        <v>1172</v>
      </c>
      <c r="H246" t="str">
        <f t="shared" si="28"/>
        <v>TS Practice India</v>
      </c>
      <c r="J246" t="str">
        <f t="shared" si="24"/>
        <v>TS_Practice_India</v>
      </c>
      <c r="K246" t="str">
        <f t="shared" si="25"/>
        <v>TS_Practice_IndiaSr. Developer</v>
      </c>
      <c r="M246" t="str">
        <f t="shared" si="23"/>
        <v>TS_Practice_India</v>
      </c>
      <c r="N246" s="185" t="str">
        <f t="shared" si="26"/>
        <v>Sr. Developer</v>
      </c>
      <c r="O246" t="str">
        <f t="shared" si="27"/>
        <v>Kunhi Ahamed Faizan</v>
      </c>
      <c r="P246" t="str" cm="1">
        <f t="array" ref="P246">INDEX(_xlfn.TEXTSPLIT(B246," "),3)</f>
        <v>India</v>
      </c>
    </row>
    <row r="247" spans="1:16" x14ac:dyDescent="0.25">
      <c r="A247" s="33" t="s">
        <v>1131</v>
      </c>
      <c r="B247" s="33" t="s">
        <v>1505</v>
      </c>
      <c r="C247" s="33" t="s">
        <v>1637</v>
      </c>
      <c r="D247" s="33" t="s">
        <v>1282</v>
      </c>
      <c r="E247" s="33" t="s">
        <v>470</v>
      </c>
      <c r="F247" s="33" t="s">
        <v>1172</v>
      </c>
      <c r="H247" t="str">
        <f t="shared" si="28"/>
        <v>TS Practice India</v>
      </c>
      <c r="J247" t="str">
        <f t="shared" si="24"/>
        <v>TS_Practice_India</v>
      </c>
      <c r="K247" t="str">
        <f t="shared" si="25"/>
        <v>TS_Practice_IndiaTechnical Lead</v>
      </c>
      <c r="M247" t="str">
        <f t="shared" si="23"/>
        <v>TS_Practice_India</v>
      </c>
      <c r="N247" s="185" t="str">
        <f t="shared" si="26"/>
        <v>Technical Lead</v>
      </c>
      <c r="O247" t="str">
        <f t="shared" si="27"/>
        <v>Karunakaran Manoharan</v>
      </c>
      <c r="P247" t="str" cm="1">
        <f t="array" ref="P247">INDEX(_xlfn.TEXTSPLIT(B247," "),3)</f>
        <v>India</v>
      </c>
    </row>
    <row r="248" spans="1:16" x14ac:dyDescent="0.25">
      <c r="A248" s="33" t="s">
        <v>1131</v>
      </c>
      <c r="B248" s="33" t="s">
        <v>1505</v>
      </c>
      <c r="C248" s="33" t="s">
        <v>1638</v>
      </c>
      <c r="D248" s="33" t="s">
        <v>1639</v>
      </c>
      <c r="E248" s="33" t="s">
        <v>432</v>
      </c>
      <c r="F248" s="33" t="s">
        <v>1172</v>
      </c>
      <c r="H248" t="str">
        <f t="shared" si="28"/>
        <v>TS Practice India</v>
      </c>
      <c r="J248" t="str">
        <f t="shared" si="24"/>
        <v>TS_Practice_India</v>
      </c>
      <c r="K248" t="str">
        <f t="shared" si="25"/>
        <v>TS_Practice_IndiaDeveloper</v>
      </c>
      <c r="M248" t="str">
        <f t="shared" si="23"/>
        <v>TS_Practice_India</v>
      </c>
      <c r="N248" s="185" t="str">
        <f t="shared" ref="N248:N255" si="29">E248</f>
        <v>Developer</v>
      </c>
      <c r="O248" t="str">
        <f t="shared" ref="O248:O255" si="30">_xlfn.CONCAT(C248," ",D248)</f>
        <v>Isacc Stewart W</v>
      </c>
      <c r="P248" t="str" cm="1">
        <f t="array" ref="P248">INDEX(_xlfn.TEXTSPLIT(B248," "),3)</f>
        <v>India</v>
      </c>
    </row>
    <row r="249" spans="1:16" x14ac:dyDescent="0.25">
      <c r="A249" s="33" t="s">
        <v>1131</v>
      </c>
      <c r="B249" s="33" t="s">
        <v>1505</v>
      </c>
      <c r="C249" s="33" t="s">
        <v>1640</v>
      </c>
      <c r="D249" s="33" t="s">
        <v>1641</v>
      </c>
      <c r="E249" s="33" t="s">
        <v>226</v>
      </c>
      <c r="F249" s="33" t="s">
        <v>1172</v>
      </c>
      <c r="H249" t="str">
        <f t="shared" si="28"/>
        <v>TS Practice India</v>
      </c>
      <c r="J249" t="str">
        <f t="shared" si="24"/>
        <v>TS_Practice_India</v>
      </c>
      <c r="K249" t="str">
        <f t="shared" si="25"/>
        <v>TS_Practice_IndiaSoftware Engineer</v>
      </c>
      <c r="M249" t="str">
        <f t="shared" si="23"/>
        <v>TS_Practice_India</v>
      </c>
      <c r="N249" s="185" t="str">
        <f t="shared" si="29"/>
        <v>Software Engineer</v>
      </c>
      <c r="O249" t="str">
        <f t="shared" si="30"/>
        <v>Gogilavani VasanthaKumar</v>
      </c>
      <c r="P249" t="str" cm="1">
        <f t="array" ref="P249">INDEX(_xlfn.TEXTSPLIT(B249," "),3)</f>
        <v>India</v>
      </c>
    </row>
    <row r="250" spans="1:16" x14ac:dyDescent="0.25">
      <c r="A250" s="33" t="s">
        <v>1131</v>
      </c>
      <c r="B250" s="33" t="s">
        <v>1505</v>
      </c>
      <c r="C250" s="33" t="s">
        <v>1642</v>
      </c>
      <c r="D250" s="33" t="s">
        <v>1643</v>
      </c>
      <c r="E250" s="33" t="s">
        <v>432</v>
      </c>
      <c r="F250" s="33" t="s">
        <v>1172</v>
      </c>
      <c r="H250" t="str">
        <f t="shared" si="28"/>
        <v>TS Practice India</v>
      </c>
      <c r="J250" t="str">
        <f t="shared" si="24"/>
        <v>TS_Practice_India</v>
      </c>
      <c r="K250" t="str">
        <f t="shared" si="25"/>
        <v>TS_Practice_IndiaDeveloper</v>
      </c>
      <c r="M250" t="str">
        <f t="shared" si="23"/>
        <v>TS_Practice_India</v>
      </c>
      <c r="N250" s="185" t="str">
        <f t="shared" si="29"/>
        <v>Developer</v>
      </c>
      <c r="O250" t="str">
        <f t="shared" si="30"/>
        <v>Giridhar Alakkadan</v>
      </c>
      <c r="P250" t="str" cm="1">
        <f t="array" ref="P250">INDEX(_xlfn.TEXTSPLIT(B250," "),3)</f>
        <v>India</v>
      </c>
    </row>
    <row r="251" spans="1:16" x14ac:dyDescent="0.25">
      <c r="A251" t="s">
        <v>1131</v>
      </c>
      <c r="B251" s="111" t="s">
        <v>1505</v>
      </c>
      <c r="C251" t="s">
        <v>1644</v>
      </c>
      <c r="D251" t="s">
        <v>1213</v>
      </c>
      <c r="E251" t="s">
        <v>432</v>
      </c>
      <c r="F251" t="s">
        <v>1172</v>
      </c>
      <c r="H251" t="str">
        <f t="shared" si="28"/>
        <v>TS Practice India</v>
      </c>
      <c r="J251" t="str">
        <f t="shared" si="24"/>
        <v>TS_Practice_India</v>
      </c>
      <c r="K251" t="str">
        <f t="shared" si="25"/>
        <v>TS_Practice_IndiaDeveloper</v>
      </c>
      <c r="M251" t="str">
        <f t="shared" si="23"/>
        <v>TS_Practice_India</v>
      </c>
      <c r="N251" s="185" t="str">
        <f t="shared" si="29"/>
        <v>Developer</v>
      </c>
      <c r="O251" t="str">
        <f t="shared" si="30"/>
        <v>Firos K</v>
      </c>
      <c r="P251" t="str" cm="1">
        <f t="array" ref="P251">INDEX(_xlfn.TEXTSPLIT(B251," "),3)</f>
        <v>India</v>
      </c>
    </row>
    <row r="252" spans="1:16" x14ac:dyDescent="0.25">
      <c r="A252" t="s">
        <v>1131</v>
      </c>
      <c r="B252" s="111" t="s">
        <v>1505</v>
      </c>
      <c r="C252" t="s">
        <v>1645</v>
      </c>
      <c r="D252" t="s">
        <v>1646</v>
      </c>
      <c r="E252" t="s">
        <v>484</v>
      </c>
      <c r="F252" t="s">
        <v>1172</v>
      </c>
      <c r="H252" t="str">
        <f t="shared" si="28"/>
        <v>TS Practice India</v>
      </c>
      <c r="J252" t="str">
        <f t="shared" si="24"/>
        <v>TS_Practice_India</v>
      </c>
      <c r="K252" t="str">
        <f t="shared" si="25"/>
        <v>TS_Practice_IndiaQA Tester - Manual</v>
      </c>
      <c r="M252" t="str">
        <f t="shared" si="23"/>
        <v>TS_Practice_India</v>
      </c>
      <c r="N252" s="185" t="str">
        <f t="shared" si="29"/>
        <v>QA Tester - Manual</v>
      </c>
      <c r="O252" t="str">
        <f t="shared" si="30"/>
        <v>Dhanalakshmi Arunagiri</v>
      </c>
      <c r="P252" t="str" cm="1">
        <f t="array" ref="P252">INDEX(_xlfn.TEXTSPLIT(B252," "),3)</f>
        <v>India</v>
      </c>
    </row>
    <row r="253" spans="1:16" x14ac:dyDescent="0.25">
      <c r="A253" t="s">
        <v>1131</v>
      </c>
      <c r="B253" s="111" t="s">
        <v>1505</v>
      </c>
      <c r="C253" t="s">
        <v>1647</v>
      </c>
      <c r="D253" t="s">
        <v>1648</v>
      </c>
      <c r="E253" t="s">
        <v>226</v>
      </c>
      <c r="F253" t="s">
        <v>1172</v>
      </c>
      <c r="H253" t="str">
        <f t="shared" si="28"/>
        <v>TS Practice India</v>
      </c>
      <c r="J253" t="str">
        <f t="shared" si="24"/>
        <v>TS_Practice_India</v>
      </c>
      <c r="K253" t="str">
        <f t="shared" si="25"/>
        <v>TS_Practice_IndiaSoftware Engineer</v>
      </c>
      <c r="M253" t="str">
        <f t="shared" si="23"/>
        <v>TS_Practice_India</v>
      </c>
      <c r="N253" s="185" t="str">
        <f t="shared" si="29"/>
        <v>Software Engineer</v>
      </c>
      <c r="O253" t="str">
        <f t="shared" si="30"/>
        <v>Chaithra H S</v>
      </c>
      <c r="P253" t="str" cm="1">
        <f t="array" ref="P253">INDEX(_xlfn.TEXTSPLIT(B253," "),3)</f>
        <v>India</v>
      </c>
    </row>
    <row r="254" spans="1:16" x14ac:dyDescent="0.25">
      <c r="A254" s="33" t="s">
        <v>1131</v>
      </c>
      <c r="B254" s="33" t="s">
        <v>1505</v>
      </c>
      <c r="C254" s="33" t="s">
        <v>1649</v>
      </c>
      <c r="D254" s="33" t="s">
        <v>1352</v>
      </c>
      <c r="E254" s="33" t="s">
        <v>429</v>
      </c>
      <c r="F254" s="33" t="s">
        <v>1172</v>
      </c>
      <c r="H254" t="str">
        <f t="shared" si="28"/>
        <v>TS Practice India</v>
      </c>
      <c r="J254" t="str">
        <f t="shared" si="24"/>
        <v>TS_Practice_India</v>
      </c>
      <c r="K254" t="str">
        <f t="shared" si="25"/>
        <v>TS_Practice_IndiaDevOps Engineer</v>
      </c>
      <c r="M254" t="str">
        <f t="shared" si="23"/>
        <v>TS_Practice_India</v>
      </c>
      <c r="N254" s="185" t="str">
        <f t="shared" si="29"/>
        <v>DevOps Engineer</v>
      </c>
      <c r="O254" t="str">
        <f t="shared" si="30"/>
        <v>Benazir Mohammed</v>
      </c>
      <c r="P254" t="str" cm="1">
        <f t="array" ref="P254">INDEX(_xlfn.TEXTSPLIT(B254," "),3)</f>
        <v>India</v>
      </c>
    </row>
    <row r="255" spans="1:16" x14ac:dyDescent="0.25">
      <c r="A255" s="33" t="s">
        <v>1131</v>
      </c>
      <c r="B255" s="33" t="s">
        <v>1505</v>
      </c>
      <c r="C255" s="33" t="s">
        <v>1650</v>
      </c>
      <c r="D255" s="33" t="s">
        <v>1651</v>
      </c>
      <c r="E255" s="33" t="s">
        <v>470</v>
      </c>
      <c r="F255" s="33" t="s">
        <v>1172</v>
      </c>
      <c r="H255" t="str">
        <f t="shared" si="28"/>
        <v>TS Practice India</v>
      </c>
      <c r="J255" t="str">
        <f t="shared" si="24"/>
        <v>TS_Practice_India</v>
      </c>
      <c r="K255" t="str">
        <f t="shared" si="25"/>
        <v>TS_Practice_IndiaTechnical Lead</v>
      </c>
      <c r="M255" t="str">
        <f t="shared" si="23"/>
        <v>TS_Practice_India</v>
      </c>
      <c r="N255" s="185" t="str">
        <f t="shared" si="29"/>
        <v>Technical Lead</v>
      </c>
      <c r="O255" t="str">
        <f t="shared" si="30"/>
        <v>Ashwini Raghavendran</v>
      </c>
      <c r="P255" t="str" cm="1">
        <f t="array" ref="P255">INDEX(_xlfn.TEXTSPLIT(B255," "),3)</f>
        <v>India</v>
      </c>
    </row>
    <row r="256" spans="1:16" x14ac:dyDescent="0.25">
      <c r="A256" s="33" t="s">
        <v>1131</v>
      </c>
      <c r="B256" s="33" t="s">
        <v>1505</v>
      </c>
      <c r="C256" s="33" t="s">
        <v>1652</v>
      </c>
      <c r="D256" s="33" t="s">
        <v>1653</v>
      </c>
      <c r="E256" s="33" t="s">
        <v>226</v>
      </c>
      <c r="F256" s="33" t="s">
        <v>1172</v>
      </c>
      <c r="H256" t="str">
        <f t="shared" si="28"/>
        <v>TS Practice India</v>
      </c>
      <c r="J256" t="str">
        <f t="shared" si="24"/>
        <v>TS_Practice_India</v>
      </c>
      <c r="K256" t="str">
        <f t="shared" si="25"/>
        <v>TS_Practice_IndiaSoftware Engineer</v>
      </c>
      <c r="M256" t="str">
        <f t="shared" si="23"/>
        <v>TS_Practice_India</v>
      </c>
      <c r="N256" s="185" t="str">
        <f t="shared" ref="N256:N257" si="31">E256</f>
        <v>Software Engineer</v>
      </c>
      <c r="O256" t="str">
        <f t="shared" ref="O256:O257" si="32">_xlfn.CONCAT(C256," ",D256)</f>
        <v>Arpith Kumar Sudhakar</v>
      </c>
      <c r="P256" t="str" cm="1">
        <f t="array" ref="P256">INDEX(_xlfn.TEXTSPLIT(B256," "),3)</f>
        <v>India</v>
      </c>
    </row>
    <row r="257" spans="1:16" x14ac:dyDescent="0.25">
      <c r="A257" s="33" t="s">
        <v>1131</v>
      </c>
      <c r="B257" s="33" t="s">
        <v>1505</v>
      </c>
      <c r="C257" s="33" t="s">
        <v>1654</v>
      </c>
      <c r="D257" s="33" t="s">
        <v>1249</v>
      </c>
      <c r="E257" s="33" t="s">
        <v>448</v>
      </c>
      <c r="F257" s="33" t="s">
        <v>1172</v>
      </c>
      <c r="H257" t="str">
        <f t="shared" si="28"/>
        <v>TS Practice India</v>
      </c>
      <c r="J257" t="str">
        <f t="shared" si="24"/>
        <v>TS_Practice_India</v>
      </c>
      <c r="K257" t="str">
        <f t="shared" si="25"/>
        <v>TS_Practice_IndiaSr. Developer</v>
      </c>
      <c r="M257" t="str">
        <f t="shared" si="23"/>
        <v>TS_Practice_India</v>
      </c>
      <c r="N257" s="185" t="str">
        <f t="shared" si="31"/>
        <v>Sr. Developer</v>
      </c>
      <c r="O257" t="str">
        <f t="shared" si="32"/>
        <v>Ankit Kumar Singh</v>
      </c>
      <c r="P257" t="str" cm="1">
        <f t="array" ref="P257">INDEX(_xlfn.TEXTSPLIT(B257," "),3)</f>
        <v>India</v>
      </c>
    </row>
    <row r="258" spans="1:16" x14ac:dyDescent="0.25">
      <c r="A258" s="33" t="s">
        <v>1131</v>
      </c>
      <c r="B258" s="33" t="s">
        <v>1505</v>
      </c>
      <c r="C258" s="33" t="s">
        <v>1655</v>
      </c>
      <c r="D258" s="33" t="s">
        <v>1656</v>
      </c>
      <c r="E258" s="33" t="s">
        <v>452</v>
      </c>
      <c r="F258" s="33" t="s">
        <v>1172</v>
      </c>
      <c r="H258" t="str">
        <f t="shared" si="28"/>
        <v>TS Practice India</v>
      </c>
      <c r="J258" t="str">
        <f t="shared" si="24"/>
        <v>TS_Practice_India</v>
      </c>
      <c r="K258" t="str">
        <f t="shared" si="25"/>
        <v>TS_Practice_IndiaSr. Data Engineer</v>
      </c>
      <c r="M258" t="str">
        <f t="shared" ref="M258:M267" si="33">J258</f>
        <v>TS_Practice_India</v>
      </c>
      <c r="N258" s="185" t="str">
        <f t="shared" ref="N258:N278" si="34">E258</f>
        <v>Sr. Data Engineer</v>
      </c>
      <c r="O258" t="str">
        <f t="shared" ref="O258:O278" si="35">_xlfn.CONCAT(C258," ",D258)</f>
        <v>Anirudh Pedaprolu</v>
      </c>
      <c r="P258" t="str" cm="1">
        <f t="array" ref="P258">INDEX(_xlfn.TEXTSPLIT(B258," "),3)</f>
        <v>India</v>
      </c>
    </row>
    <row r="259" spans="1:16" x14ac:dyDescent="0.25">
      <c r="A259" s="33" t="s">
        <v>1131</v>
      </c>
      <c r="B259" s="33" t="s">
        <v>1505</v>
      </c>
      <c r="C259" s="33" t="s">
        <v>1170</v>
      </c>
      <c r="D259" s="33" t="s">
        <v>1657</v>
      </c>
      <c r="E259" s="33" t="s">
        <v>226</v>
      </c>
      <c r="F259" s="33" t="s">
        <v>1172</v>
      </c>
      <c r="H259" t="str">
        <f t="shared" si="28"/>
        <v>TS Practice India</v>
      </c>
      <c r="J259" t="str">
        <f t="shared" ref="J259:J267" si="36">SUBSTITUTE(TRIM(H259)," ","_")</f>
        <v>TS_Practice_India</v>
      </c>
      <c r="K259" t="str">
        <f t="shared" si="25"/>
        <v>TS_Practice_IndiaSoftware Engineer</v>
      </c>
      <c r="M259" t="str">
        <f t="shared" si="33"/>
        <v>TS_Practice_India</v>
      </c>
      <c r="N259" s="185" t="str">
        <f t="shared" si="34"/>
        <v>Software Engineer</v>
      </c>
      <c r="O259" t="str">
        <f t="shared" si="35"/>
        <v>Aditya Ganesh Shanbhag</v>
      </c>
      <c r="P259" t="str" cm="1">
        <f t="array" ref="P259">INDEX(_xlfn.TEXTSPLIT(B259," "),3)</f>
        <v>India</v>
      </c>
    </row>
    <row r="260" spans="1:16" x14ac:dyDescent="0.25">
      <c r="A260" s="33" t="s">
        <v>1131</v>
      </c>
      <c r="B260" s="33" t="s">
        <v>1658</v>
      </c>
      <c r="C260" s="33" t="s">
        <v>1659</v>
      </c>
      <c r="D260" s="33" t="s">
        <v>1660</v>
      </c>
      <c r="E260" s="33" t="s">
        <v>200</v>
      </c>
      <c r="F260" s="33" t="s">
        <v>1135</v>
      </c>
      <c r="H260" t="str">
        <f t="shared" si="28"/>
        <v>TS Practice USA</v>
      </c>
      <c r="J260" t="str">
        <f t="shared" si="36"/>
        <v>TS_Practice_USA</v>
      </c>
      <c r="K260" t="str">
        <f t="shared" si="25"/>
        <v>TS_Practice_USAProject Manager</v>
      </c>
      <c r="M260" t="str">
        <f t="shared" si="33"/>
        <v>TS_Practice_USA</v>
      </c>
      <c r="N260" s="185" t="str">
        <f t="shared" si="34"/>
        <v>Project Manager</v>
      </c>
      <c r="O260" t="str">
        <f t="shared" si="35"/>
        <v>Prashant Verma</v>
      </c>
      <c r="P260" t="str" cm="1">
        <f t="array" ref="P260">INDEX(_xlfn.TEXTSPLIT(B260," "),3)</f>
        <v>USA</v>
      </c>
    </row>
    <row r="261" spans="1:16" x14ac:dyDescent="0.25">
      <c r="A261" t="s">
        <v>1131</v>
      </c>
      <c r="B261" t="s">
        <v>1658</v>
      </c>
      <c r="C261" t="s">
        <v>1661</v>
      </c>
      <c r="D261" t="s">
        <v>1662</v>
      </c>
      <c r="E261" t="s">
        <v>200</v>
      </c>
      <c r="F261" t="s">
        <v>1135</v>
      </c>
      <c r="H261" t="str">
        <f t="shared" si="28"/>
        <v>TS Practice USA</v>
      </c>
      <c r="J261" t="str">
        <f t="shared" si="36"/>
        <v>TS_Practice_USA</v>
      </c>
      <c r="K261" t="str">
        <f t="shared" si="25"/>
        <v>TS_Practice_USAProject Manager</v>
      </c>
      <c r="M261" t="str">
        <f t="shared" si="33"/>
        <v>TS_Practice_USA</v>
      </c>
      <c r="N261" s="185" t="str">
        <f t="shared" si="34"/>
        <v>Project Manager</v>
      </c>
      <c r="O261" t="str">
        <f t="shared" si="35"/>
        <v>Gerard M Montague</v>
      </c>
      <c r="P261" t="str" cm="1">
        <f t="array" ref="P261">INDEX(_xlfn.TEXTSPLIT(B261," "),3)</f>
        <v>USA</v>
      </c>
    </row>
    <row r="262" spans="1:16" x14ac:dyDescent="0.25">
      <c r="A262" t="s">
        <v>1131</v>
      </c>
      <c r="B262" t="s">
        <v>1658</v>
      </c>
      <c r="C262" t="s">
        <v>1573</v>
      </c>
      <c r="D262" t="s">
        <v>1663</v>
      </c>
      <c r="E262" t="s">
        <v>206</v>
      </c>
      <c r="F262" t="s">
        <v>1135</v>
      </c>
      <c r="H262" t="str">
        <f t="shared" si="28"/>
        <v>TS Practice USA</v>
      </c>
      <c r="J262" t="str">
        <f t="shared" si="36"/>
        <v>TS_Practice_USA</v>
      </c>
      <c r="K262" t="str">
        <f t="shared" si="25"/>
        <v>TS_Practice_USAArchitect</v>
      </c>
      <c r="M262" t="str">
        <f t="shared" si="33"/>
        <v>TS_Practice_USA</v>
      </c>
      <c r="N262" s="185" t="str">
        <f t="shared" si="34"/>
        <v>Architect</v>
      </c>
      <c r="O262" t="str">
        <f t="shared" si="35"/>
        <v>Rajesh K Varakala</v>
      </c>
      <c r="P262" t="str" cm="1">
        <f t="array" ref="P262">INDEX(_xlfn.TEXTSPLIT(B262," "),3)</f>
        <v>USA</v>
      </c>
    </row>
    <row r="263" spans="1:16" x14ac:dyDescent="0.25">
      <c r="A263" t="s">
        <v>1131</v>
      </c>
      <c r="B263" t="s">
        <v>1658</v>
      </c>
      <c r="C263" t="s">
        <v>1664</v>
      </c>
      <c r="D263" t="s">
        <v>1665</v>
      </c>
      <c r="E263" t="s">
        <v>530</v>
      </c>
      <c r="F263" t="s">
        <v>1135</v>
      </c>
      <c r="H263" t="str">
        <f t="shared" si="28"/>
        <v>TS Practice USA</v>
      </c>
      <c r="J263" t="str">
        <f t="shared" si="36"/>
        <v>TS_Practice_USA</v>
      </c>
      <c r="K263" t="str">
        <f t="shared" si="25"/>
        <v>TS_Practice_USASr. Architect</v>
      </c>
      <c r="M263" t="str">
        <f t="shared" si="33"/>
        <v>TS_Practice_USA</v>
      </c>
      <c r="N263" s="185" t="str">
        <f t="shared" si="34"/>
        <v>Sr. Architect</v>
      </c>
      <c r="O263" t="str">
        <f t="shared" si="35"/>
        <v>Jai K Jain</v>
      </c>
      <c r="P263" t="str" cm="1">
        <f t="array" ref="P263">INDEX(_xlfn.TEXTSPLIT(B263," "),3)</f>
        <v>USA</v>
      </c>
    </row>
    <row r="264" spans="1:16" x14ac:dyDescent="0.25">
      <c r="A264" t="s">
        <v>1131</v>
      </c>
      <c r="B264" t="s">
        <v>1658</v>
      </c>
      <c r="C264" t="s">
        <v>1666</v>
      </c>
      <c r="D264" t="s">
        <v>1667</v>
      </c>
      <c r="E264" t="s">
        <v>195</v>
      </c>
      <c r="F264" t="s">
        <v>1135</v>
      </c>
      <c r="H264" t="str">
        <f t="shared" si="28"/>
        <v>TS Practice USA</v>
      </c>
      <c r="J264" t="str">
        <f t="shared" si="36"/>
        <v>TS_Practice_USA</v>
      </c>
      <c r="K264" t="str">
        <f t="shared" si="25"/>
        <v>TS_Practice_USAProgram Manager</v>
      </c>
      <c r="M264" t="str">
        <f t="shared" si="33"/>
        <v>TS_Practice_USA</v>
      </c>
      <c r="N264" s="185" t="str">
        <f t="shared" si="34"/>
        <v>Program Manager</v>
      </c>
      <c r="O264" t="str">
        <f t="shared" si="35"/>
        <v>Danielle Duncan</v>
      </c>
      <c r="P264" t="str" cm="1">
        <f t="array" ref="P264">INDEX(_xlfn.TEXTSPLIT(B264," "),3)</f>
        <v>USA</v>
      </c>
    </row>
    <row r="265" spans="1:16" x14ac:dyDescent="0.25">
      <c r="A265" t="s">
        <v>1131</v>
      </c>
      <c r="B265" t="s">
        <v>1658</v>
      </c>
      <c r="C265" t="s">
        <v>1668</v>
      </c>
      <c r="D265" t="s">
        <v>1669</v>
      </c>
      <c r="E265" t="s">
        <v>470</v>
      </c>
      <c r="F265" t="s">
        <v>1135</v>
      </c>
      <c r="H265" t="str">
        <f t="shared" si="28"/>
        <v>TS Practice USA</v>
      </c>
      <c r="J265" t="str">
        <f t="shared" si="36"/>
        <v>TS_Practice_USA</v>
      </c>
      <c r="K265" t="str">
        <f t="shared" si="25"/>
        <v>TS_Practice_USATechnical Lead</v>
      </c>
      <c r="M265" t="str">
        <f t="shared" si="33"/>
        <v>TS_Practice_USA</v>
      </c>
      <c r="N265" s="185" t="str">
        <f t="shared" si="34"/>
        <v>Technical Lead</v>
      </c>
      <c r="O265" t="str">
        <f t="shared" si="35"/>
        <v>Amol S Ghalke</v>
      </c>
      <c r="P265" t="str" cm="1">
        <f t="array" ref="P265">INDEX(_xlfn.TEXTSPLIT(B265," "),3)</f>
        <v>USA</v>
      </c>
    </row>
    <row r="266" spans="1:16" x14ac:dyDescent="0.25">
      <c r="A266" t="s">
        <v>1153</v>
      </c>
      <c r="B266" t="s">
        <v>1658</v>
      </c>
      <c r="C266" t="s">
        <v>1670</v>
      </c>
      <c r="D266" t="s">
        <v>1671</v>
      </c>
      <c r="E266" t="s">
        <v>534</v>
      </c>
      <c r="F266" t="s">
        <v>1152</v>
      </c>
      <c r="H266" t="str">
        <f t="shared" si="28"/>
        <v>TS Practice USA</v>
      </c>
      <c r="J266" t="str">
        <f t="shared" si="36"/>
        <v>TS_Practice_USA</v>
      </c>
      <c r="K266" t="str">
        <f t="shared" si="25"/>
        <v>TS_Practice_USASecurity Engineer</v>
      </c>
      <c r="M266" t="str">
        <f t="shared" si="33"/>
        <v>TS_Practice_USA</v>
      </c>
      <c r="N266" s="185" t="str">
        <f t="shared" si="34"/>
        <v>Security Engineer</v>
      </c>
      <c r="O266" t="str">
        <f t="shared" si="35"/>
        <v>Meghana Bachina</v>
      </c>
      <c r="P266" t="str" cm="1">
        <f t="array" ref="P266">INDEX(_xlfn.TEXTSPLIT(B266," "),3)</f>
        <v>USA</v>
      </c>
    </row>
    <row r="267" spans="1:16" x14ac:dyDescent="0.25">
      <c r="A267" t="s">
        <v>1153</v>
      </c>
      <c r="B267" t="s">
        <v>1658</v>
      </c>
      <c r="C267" t="s">
        <v>1672</v>
      </c>
      <c r="D267" t="s">
        <v>1392</v>
      </c>
      <c r="E267" t="s">
        <v>534</v>
      </c>
      <c r="F267" t="s">
        <v>1152</v>
      </c>
      <c r="H267" t="str">
        <f t="shared" si="28"/>
        <v>TS Practice USA</v>
      </c>
      <c r="J267" t="str">
        <f t="shared" si="36"/>
        <v>TS_Practice_USA</v>
      </c>
      <c r="K267" t="str">
        <f t="shared" si="25"/>
        <v>TS_Practice_USASecurity Engineer</v>
      </c>
      <c r="M267" t="str">
        <f t="shared" si="33"/>
        <v>TS_Practice_USA</v>
      </c>
      <c r="N267" s="185" t="str">
        <f t="shared" si="34"/>
        <v>Security Engineer</v>
      </c>
      <c r="O267" t="str">
        <f t="shared" si="35"/>
        <v>Babu Shaik</v>
      </c>
      <c r="P267" t="str" cm="1">
        <f t="array" ref="P267">INDEX(_xlfn.TEXTSPLIT(B267," "),3)</f>
        <v>USA</v>
      </c>
    </row>
    <row r="268" spans="1:16" x14ac:dyDescent="0.25">
      <c r="A268" t="s">
        <v>1153</v>
      </c>
      <c r="B268" t="s">
        <v>1658</v>
      </c>
      <c r="C268" t="s">
        <v>1673</v>
      </c>
      <c r="D268" t="s">
        <v>1674</v>
      </c>
      <c r="E268" t="s">
        <v>534</v>
      </c>
      <c r="F268" t="s">
        <v>1152</v>
      </c>
      <c r="H268" t="str">
        <f t="shared" si="28"/>
        <v>TS Practice USA</v>
      </c>
      <c r="J268" t="str">
        <f t="shared" ref="J268:J279" si="37">SUBSTITUTE(TRIM(H268)," ","_")</f>
        <v>TS_Practice_USA</v>
      </c>
      <c r="K268" t="str">
        <f t="shared" ref="K268:K279" si="38">_xlfn.CONCAT(J268,E268)</f>
        <v>TS_Practice_USASecurity Engineer</v>
      </c>
      <c r="M268" t="str">
        <f t="shared" ref="M268:M279" si="39">J268</f>
        <v>TS_Practice_USA</v>
      </c>
      <c r="N268" s="185" t="str">
        <f t="shared" si="34"/>
        <v>Security Engineer</v>
      </c>
      <c r="O268" t="str">
        <f t="shared" si="35"/>
        <v>Suma Sri Amujuri</v>
      </c>
      <c r="P268" t="str" cm="1">
        <f t="array" ref="P268">INDEX(_xlfn.TEXTSPLIT(B268," "),3)</f>
        <v>USA</v>
      </c>
    </row>
    <row r="269" spans="1:16" x14ac:dyDescent="0.25">
      <c r="A269" t="s">
        <v>1153</v>
      </c>
      <c r="B269" t="s">
        <v>1658</v>
      </c>
      <c r="C269" t="s">
        <v>1675</v>
      </c>
      <c r="D269" t="s">
        <v>1676</v>
      </c>
      <c r="E269" t="s">
        <v>534</v>
      </c>
      <c r="F269" t="s">
        <v>1152</v>
      </c>
      <c r="H269" t="str">
        <f t="shared" si="28"/>
        <v>TS Practice USA</v>
      </c>
      <c r="J269" t="str">
        <f t="shared" si="37"/>
        <v>TS_Practice_USA</v>
      </c>
      <c r="K269" t="str">
        <f t="shared" si="38"/>
        <v>TS_Practice_USASecurity Engineer</v>
      </c>
      <c r="M269" t="str">
        <f t="shared" si="39"/>
        <v>TS_Practice_USA</v>
      </c>
      <c r="N269" s="185" t="str">
        <f t="shared" si="34"/>
        <v>Security Engineer</v>
      </c>
      <c r="O269" t="str">
        <f t="shared" si="35"/>
        <v>Agesh Yedugani</v>
      </c>
      <c r="P269" t="str" cm="1">
        <f t="array" ref="P269">INDEX(_xlfn.TEXTSPLIT(B269," "),3)</f>
        <v>USA</v>
      </c>
    </row>
    <row r="270" spans="1:16" x14ac:dyDescent="0.25">
      <c r="A270" t="s">
        <v>1153</v>
      </c>
      <c r="B270" t="s">
        <v>1658</v>
      </c>
      <c r="C270" t="s">
        <v>1677</v>
      </c>
      <c r="D270" t="s">
        <v>1678</v>
      </c>
      <c r="E270" t="s">
        <v>432</v>
      </c>
      <c r="F270" t="s">
        <v>1152</v>
      </c>
      <c r="H270" t="str">
        <f t="shared" si="28"/>
        <v>TS Practice USA</v>
      </c>
      <c r="J270" t="str">
        <f t="shared" si="37"/>
        <v>TS_Practice_USA</v>
      </c>
      <c r="K270" t="str">
        <f t="shared" si="38"/>
        <v>TS_Practice_USADeveloper</v>
      </c>
      <c r="M270" t="str">
        <f t="shared" si="39"/>
        <v>TS_Practice_USA</v>
      </c>
      <c r="N270" s="185" t="str">
        <f t="shared" si="34"/>
        <v>Developer</v>
      </c>
      <c r="O270" t="str">
        <f t="shared" si="35"/>
        <v>Sivasai Yellamraju</v>
      </c>
      <c r="P270" t="str" cm="1">
        <f t="array" ref="P270">INDEX(_xlfn.TEXTSPLIT(B270," "),3)</f>
        <v>USA</v>
      </c>
    </row>
    <row r="271" spans="1:16" x14ac:dyDescent="0.25">
      <c r="A271" t="s">
        <v>1153</v>
      </c>
      <c r="B271" t="s">
        <v>1658</v>
      </c>
      <c r="C271" t="s">
        <v>1679</v>
      </c>
      <c r="D271" t="s">
        <v>1680</v>
      </c>
      <c r="E271" t="s">
        <v>432</v>
      </c>
      <c r="F271" t="s">
        <v>1152</v>
      </c>
      <c r="H271" t="str">
        <f t="shared" si="28"/>
        <v>TS Practice USA</v>
      </c>
      <c r="J271" t="str">
        <f t="shared" si="37"/>
        <v>TS_Practice_USA</v>
      </c>
      <c r="K271" t="str">
        <f t="shared" si="38"/>
        <v>TS_Practice_USADeveloper</v>
      </c>
      <c r="M271" t="str">
        <f t="shared" si="39"/>
        <v>TS_Practice_USA</v>
      </c>
      <c r="N271" s="185" t="str">
        <f t="shared" si="34"/>
        <v>Developer</v>
      </c>
      <c r="O271" t="str">
        <f t="shared" si="35"/>
        <v>Rahul Pittala</v>
      </c>
      <c r="P271" t="str" cm="1">
        <f t="array" ref="P271">INDEX(_xlfn.TEXTSPLIT(B271," "),3)</f>
        <v>USA</v>
      </c>
    </row>
    <row r="272" spans="1:16" x14ac:dyDescent="0.25">
      <c r="A272" t="s">
        <v>1153</v>
      </c>
      <c r="B272" t="s">
        <v>1658</v>
      </c>
      <c r="C272" t="s">
        <v>1681</v>
      </c>
      <c r="D272" t="s">
        <v>1682</v>
      </c>
      <c r="E272" t="s">
        <v>432</v>
      </c>
      <c r="F272" t="s">
        <v>1152</v>
      </c>
      <c r="H272" t="str">
        <f t="shared" si="28"/>
        <v>TS Practice USA</v>
      </c>
      <c r="J272" t="str">
        <f t="shared" si="37"/>
        <v>TS_Practice_USA</v>
      </c>
      <c r="K272" t="str">
        <f t="shared" si="38"/>
        <v>TS_Practice_USADeveloper</v>
      </c>
      <c r="M272" t="str">
        <f t="shared" si="39"/>
        <v>TS_Practice_USA</v>
      </c>
      <c r="N272" s="185" t="str">
        <f t="shared" si="34"/>
        <v>Developer</v>
      </c>
      <c r="O272" t="str">
        <f t="shared" si="35"/>
        <v>Kavitha Marichetty</v>
      </c>
      <c r="P272" t="str" cm="1">
        <f t="array" ref="P272">INDEX(_xlfn.TEXTSPLIT(B272," "),3)</f>
        <v>USA</v>
      </c>
    </row>
    <row r="273" spans="1:16" x14ac:dyDescent="0.25">
      <c r="A273" t="s">
        <v>1153</v>
      </c>
      <c r="B273" t="s">
        <v>1658</v>
      </c>
      <c r="C273" t="s">
        <v>1683</v>
      </c>
      <c r="D273" t="s">
        <v>1684</v>
      </c>
      <c r="E273" t="s">
        <v>432</v>
      </c>
      <c r="F273" t="s">
        <v>1152</v>
      </c>
      <c r="H273" t="str">
        <f t="shared" si="28"/>
        <v>TS Practice USA</v>
      </c>
      <c r="J273" t="str">
        <f t="shared" si="37"/>
        <v>TS_Practice_USA</v>
      </c>
      <c r="K273" t="str">
        <f t="shared" si="38"/>
        <v>TS_Practice_USADeveloper</v>
      </c>
      <c r="M273" t="str">
        <f t="shared" si="39"/>
        <v>TS_Practice_USA</v>
      </c>
      <c r="N273" s="185" t="str">
        <f t="shared" si="34"/>
        <v>Developer</v>
      </c>
      <c r="O273" t="str">
        <f t="shared" si="35"/>
        <v>Shikder Al Zahid</v>
      </c>
      <c r="P273" t="str" cm="1">
        <f t="array" ref="P273">INDEX(_xlfn.TEXTSPLIT(B273," "),3)</f>
        <v>USA</v>
      </c>
    </row>
    <row r="274" spans="1:16" x14ac:dyDescent="0.25">
      <c r="A274" t="s">
        <v>1153</v>
      </c>
      <c r="B274" t="s">
        <v>1658</v>
      </c>
      <c r="C274" t="s">
        <v>1685</v>
      </c>
      <c r="D274" t="s">
        <v>1686</v>
      </c>
      <c r="E274" t="s">
        <v>272</v>
      </c>
      <c r="F274" t="s">
        <v>1152</v>
      </c>
      <c r="H274" t="str">
        <f t="shared" si="28"/>
        <v>TS Practice USA</v>
      </c>
      <c r="J274" t="str">
        <f t="shared" si="37"/>
        <v>TS_Practice_USA</v>
      </c>
      <c r="K274" t="str">
        <f t="shared" si="38"/>
        <v>TS_Practice_USASr. Application Developer</v>
      </c>
      <c r="M274" t="str">
        <f t="shared" si="39"/>
        <v>TS_Practice_USA</v>
      </c>
      <c r="N274" s="185" t="str">
        <f t="shared" si="34"/>
        <v>Sr. Application Developer</v>
      </c>
      <c r="O274" t="str">
        <f t="shared" si="35"/>
        <v>Steven Heaster</v>
      </c>
      <c r="P274" t="str" cm="1">
        <f t="array" ref="P274">INDEX(_xlfn.TEXTSPLIT(B274," "),3)</f>
        <v>USA</v>
      </c>
    </row>
    <row r="275" spans="1:16" x14ac:dyDescent="0.25">
      <c r="A275" t="s">
        <v>1153</v>
      </c>
      <c r="B275" t="s">
        <v>1658</v>
      </c>
      <c r="C275" t="s">
        <v>1687</v>
      </c>
      <c r="D275" t="s">
        <v>1688</v>
      </c>
      <c r="E275" t="s">
        <v>313</v>
      </c>
      <c r="F275" t="s">
        <v>1152</v>
      </c>
      <c r="H275" t="str">
        <f t="shared" si="28"/>
        <v>TS Practice USA</v>
      </c>
      <c r="J275" t="str">
        <f t="shared" si="37"/>
        <v>TS_Practice_USA</v>
      </c>
      <c r="K275" t="str">
        <f t="shared" si="38"/>
        <v>TS_Practice_USASolution Architect</v>
      </c>
      <c r="M275" t="str">
        <f t="shared" si="39"/>
        <v>TS_Practice_USA</v>
      </c>
      <c r="N275" s="185" t="str">
        <f t="shared" si="34"/>
        <v>Solution Architect</v>
      </c>
      <c r="O275" t="str">
        <f t="shared" si="35"/>
        <v>Mustafa Mezaal</v>
      </c>
      <c r="P275" t="str" cm="1">
        <f t="array" ref="P275">INDEX(_xlfn.TEXTSPLIT(B275," "),3)</f>
        <v>USA</v>
      </c>
    </row>
    <row r="276" spans="1:16" x14ac:dyDescent="0.25">
      <c r="A276" t="s">
        <v>1689</v>
      </c>
      <c r="B276" t="s">
        <v>1658</v>
      </c>
      <c r="C276" t="s">
        <v>1540</v>
      </c>
      <c r="D276" t="s">
        <v>1690</v>
      </c>
      <c r="E276" t="s">
        <v>432</v>
      </c>
      <c r="F276" t="s">
        <v>1152</v>
      </c>
      <c r="H276" t="str">
        <f t="shared" si="28"/>
        <v>TS Practice USA</v>
      </c>
      <c r="J276" t="str">
        <f t="shared" si="37"/>
        <v>TS_Practice_USA</v>
      </c>
      <c r="K276" t="str">
        <f t="shared" si="38"/>
        <v>TS_Practice_USADeveloper</v>
      </c>
      <c r="M276" t="str">
        <f t="shared" si="39"/>
        <v>TS_Practice_USA</v>
      </c>
      <c r="N276" s="185" t="str">
        <f t="shared" si="34"/>
        <v>Developer</v>
      </c>
      <c r="O276" t="str">
        <f t="shared" si="35"/>
        <v>Varun Dravidam</v>
      </c>
      <c r="P276" t="str" cm="1">
        <f t="array" ref="P276">INDEX(_xlfn.TEXTSPLIT(B276," "),3)</f>
        <v>USA</v>
      </c>
    </row>
    <row r="277" spans="1:16" x14ac:dyDescent="0.25">
      <c r="A277" t="s">
        <v>1162</v>
      </c>
      <c r="B277" t="s">
        <v>1658</v>
      </c>
      <c r="C277" t="s">
        <v>1691</v>
      </c>
      <c r="D277" t="s">
        <v>1692</v>
      </c>
      <c r="E277" t="s">
        <v>484</v>
      </c>
      <c r="F277" t="s">
        <v>1168</v>
      </c>
      <c r="H277" t="str">
        <f t="shared" si="28"/>
        <v>TS Practice USA</v>
      </c>
      <c r="J277" t="str">
        <f t="shared" si="37"/>
        <v>TS_Practice_USA</v>
      </c>
      <c r="K277" t="str">
        <f t="shared" si="38"/>
        <v>TS_Practice_USAQA Tester - Manual</v>
      </c>
      <c r="M277" t="str">
        <f t="shared" si="39"/>
        <v>TS_Practice_USA</v>
      </c>
      <c r="N277" s="185" t="str">
        <f t="shared" si="34"/>
        <v>QA Tester - Manual</v>
      </c>
      <c r="O277" t="str">
        <f t="shared" si="35"/>
        <v>Murtaza Halwadwala</v>
      </c>
      <c r="P277" t="str" cm="1">
        <f t="array" ref="P277">INDEX(_xlfn.TEXTSPLIT(B277," "),3)</f>
        <v>USA</v>
      </c>
    </row>
    <row r="278" spans="1:16" x14ac:dyDescent="0.25">
      <c r="A278" t="s">
        <v>1162</v>
      </c>
      <c r="B278" t="s">
        <v>1658</v>
      </c>
      <c r="C278" t="s">
        <v>1693</v>
      </c>
      <c r="D278" t="s">
        <v>1694</v>
      </c>
      <c r="E278" t="s">
        <v>427</v>
      </c>
      <c r="F278" t="s">
        <v>1152</v>
      </c>
      <c r="H278" t="str">
        <f t="shared" si="28"/>
        <v>TS Practice USA</v>
      </c>
      <c r="J278" t="str">
        <f t="shared" si="37"/>
        <v>TS_Practice_USA</v>
      </c>
      <c r="K278" t="str">
        <f t="shared" si="38"/>
        <v>TS_Practice_USABusiness/Data Analyst</v>
      </c>
      <c r="M278" t="str">
        <f t="shared" si="39"/>
        <v>TS_Practice_USA</v>
      </c>
      <c r="N278" s="185" t="str">
        <f t="shared" si="34"/>
        <v>Business/Data Analyst</v>
      </c>
      <c r="O278" t="str">
        <f t="shared" si="35"/>
        <v>Jinali Kamdar</v>
      </c>
      <c r="P278" t="str" cm="1">
        <f t="array" ref="P278">INDEX(_xlfn.TEXTSPLIT(B278," "),3)</f>
        <v>USA</v>
      </c>
    </row>
    <row r="279" spans="1:16" x14ac:dyDescent="0.25">
      <c r="J279" t="str">
        <f t="shared" si="37"/>
        <v/>
      </c>
      <c r="K279" t="str">
        <f t="shared" si="38"/>
        <v/>
      </c>
      <c r="M279" t="str">
        <f t="shared" si="39"/>
        <v/>
      </c>
      <c r="N279" s="185"/>
    </row>
    <row r="280" spans="1:16" x14ac:dyDescent="0.25">
      <c r="N280" s="185"/>
    </row>
    <row r="281" spans="1:16" x14ac:dyDescent="0.25">
      <c r="N281" s="185"/>
    </row>
    <row r="282" spans="1:16" x14ac:dyDescent="0.25">
      <c r="N282" s="185"/>
    </row>
  </sheetData>
  <sheetProtection algorithmName="SHA-512" hashValue="A2rwfoWzN/G5i2DjNkRAiRQluExVq3MMW0o9/cchVAQ86mL7dC2J09MX/oPBd6QsVpY5QVevwqv+aoHLoRk5gw==" saltValue="FJYRN6BBnZcMo1LsF3v3zQ==" spinCount="100000" sheet="1" objects="1" scenarios="1"/>
  <autoFilter ref="M2:P2" xr:uid="{678FA954-49A9-4786-8569-32FE0A9A4A2E}"/>
  <sortState xmlns:xlrd2="http://schemas.microsoft.com/office/spreadsheetml/2017/richdata2" ref="M3:P267">
    <sortCondition ref="M3:M267"/>
    <sortCondition ref="N3:N267"/>
    <sortCondition ref="O3:O267"/>
  </sortState>
  <hyperlinks>
    <hyperlink ref="B1" r:id="rId1" xr:uid="{E6F5402B-6F53-4B3D-8CA4-6EAA5A3CA224}"/>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4D186-C95D-4237-BB94-1C453668D0D3}">
  <sheetPr codeName="Sheet8"/>
  <dimension ref="A1:H193"/>
  <sheetViews>
    <sheetView workbookViewId="0"/>
  </sheetViews>
  <sheetFormatPr defaultRowHeight="15" x14ac:dyDescent="0.25"/>
  <cols>
    <col min="1" max="1" width="36.5703125" customWidth="1"/>
    <col min="2" max="2" width="17" customWidth="1"/>
    <col min="3" max="3" width="5.7109375" customWidth="1"/>
    <col min="4" max="5" width="20.5703125" customWidth="1"/>
    <col min="6" max="6" width="5.42578125" customWidth="1"/>
    <col min="7" max="7" width="26.5703125" customWidth="1"/>
    <col min="8" max="8" width="16.5703125" customWidth="1"/>
    <col min="12" max="12" width="30" customWidth="1"/>
  </cols>
  <sheetData>
    <row r="1" spans="1:8" x14ac:dyDescent="0.25">
      <c r="A1" s="69" t="s">
        <v>1695</v>
      </c>
      <c r="B1" s="69" t="s">
        <v>1696</v>
      </c>
      <c r="D1" s="69" t="s">
        <v>724</v>
      </c>
      <c r="E1" s="69" t="s">
        <v>1697</v>
      </c>
      <c r="G1" s="69" t="s">
        <v>1698</v>
      </c>
      <c r="H1" s="69" t="s">
        <v>1697</v>
      </c>
    </row>
    <row r="2" spans="1:8" x14ac:dyDescent="0.25">
      <c r="A2" t="s">
        <v>778</v>
      </c>
      <c r="D2" t="s">
        <v>774</v>
      </c>
      <c r="G2" t="s">
        <v>775</v>
      </c>
    </row>
    <row r="3" spans="1:8" x14ac:dyDescent="0.25">
      <c r="A3" t="s">
        <v>782</v>
      </c>
      <c r="D3" t="s">
        <v>779</v>
      </c>
      <c r="G3" t="s">
        <v>780</v>
      </c>
    </row>
    <row r="4" spans="1:8" x14ac:dyDescent="0.25">
      <c r="A4" t="s">
        <v>786</v>
      </c>
      <c r="D4" t="s">
        <v>783</v>
      </c>
      <c r="G4" t="s">
        <v>784</v>
      </c>
    </row>
    <row r="5" spans="1:8" x14ac:dyDescent="0.25">
      <c r="A5" t="s">
        <v>790</v>
      </c>
      <c r="D5" t="s">
        <v>787</v>
      </c>
      <c r="G5" t="s">
        <v>788</v>
      </c>
    </row>
    <row r="6" spans="1:8" x14ac:dyDescent="0.25">
      <c r="A6" t="s">
        <v>794</v>
      </c>
      <c r="D6" t="s">
        <v>791</v>
      </c>
      <c r="G6" t="s">
        <v>792</v>
      </c>
    </row>
    <row r="7" spans="1:8" x14ac:dyDescent="0.25">
      <c r="A7" t="s">
        <v>797</v>
      </c>
      <c r="D7" t="s">
        <v>795</v>
      </c>
      <c r="G7" t="s">
        <v>796</v>
      </c>
    </row>
    <row r="8" spans="1:8" x14ac:dyDescent="0.25">
      <c r="A8" t="s">
        <v>800</v>
      </c>
      <c r="D8" t="s">
        <v>798</v>
      </c>
      <c r="G8" t="s">
        <v>799</v>
      </c>
    </row>
    <row r="9" spans="1:8" x14ac:dyDescent="0.25">
      <c r="A9" t="s">
        <v>803</v>
      </c>
      <c r="D9" t="s">
        <v>801</v>
      </c>
      <c r="G9" t="s">
        <v>802</v>
      </c>
    </row>
    <row r="10" spans="1:8" x14ac:dyDescent="0.25">
      <c r="A10" t="s">
        <v>806</v>
      </c>
      <c r="D10" t="s">
        <v>804</v>
      </c>
      <c r="G10" t="s">
        <v>805</v>
      </c>
    </row>
    <row r="11" spans="1:8" x14ac:dyDescent="0.25">
      <c r="A11" t="s">
        <v>809</v>
      </c>
      <c r="D11" t="s">
        <v>807</v>
      </c>
      <c r="G11" t="s">
        <v>808</v>
      </c>
    </row>
    <row r="12" spans="1:8" x14ac:dyDescent="0.25">
      <c r="A12" t="s">
        <v>812</v>
      </c>
      <c r="D12" t="s">
        <v>810</v>
      </c>
      <c r="G12" t="s">
        <v>811</v>
      </c>
    </row>
    <row r="13" spans="1:8" x14ac:dyDescent="0.25">
      <c r="A13" t="s">
        <v>815</v>
      </c>
      <c r="D13" t="s">
        <v>813</v>
      </c>
      <c r="G13" t="s">
        <v>814</v>
      </c>
    </row>
    <row r="14" spans="1:8" x14ac:dyDescent="0.25">
      <c r="A14" t="s">
        <v>817</v>
      </c>
      <c r="D14" t="s">
        <v>187</v>
      </c>
      <c r="G14" t="s">
        <v>816</v>
      </c>
    </row>
    <row r="15" spans="1:8" x14ac:dyDescent="0.25">
      <c r="A15" t="s">
        <v>820</v>
      </c>
      <c r="D15" t="s">
        <v>818</v>
      </c>
      <c r="G15" t="s">
        <v>819</v>
      </c>
    </row>
    <row r="16" spans="1:8" x14ac:dyDescent="0.25">
      <c r="A16" t="s">
        <v>823</v>
      </c>
      <c r="D16" t="s">
        <v>821</v>
      </c>
      <c r="G16" t="s">
        <v>822</v>
      </c>
    </row>
    <row r="17" spans="1:7" x14ac:dyDescent="0.25">
      <c r="A17" t="s">
        <v>827</v>
      </c>
      <c r="D17" t="s">
        <v>824</v>
      </c>
      <c r="G17" t="s">
        <v>825</v>
      </c>
    </row>
    <row r="18" spans="1:7" x14ac:dyDescent="0.25">
      <c r="A18" t="s">
        <v>831</v>
      </c>
      <c r="D18" t="s">
        <v>828</v>
      </c>
      <c r="G18" t="s">
        <v>829</v>
      </c>
    </row>
    <row r="19" spans="1:7" x14ac:dyDescent="0.25">
      <c r="A19" t="s">
        <v>834</v>
      </c>
      <c r="D19" t="s">
        <v>832</v>
      </c>
      <c r="G19" t="s">
        <v>833</v>
      </c>
    </row>
    <row r="20" spans="1:7" x14ac:dyDescent="0.25">
      <c r="A20" t="s">
        <v>837</v>
      </c>
      <c r="D20" t="s">
        <v>835</v>
      </c>
      <c r="G20" t="s">
        <v>836</v>
      </c>
    </row>
    <row r="21" spans="1:7" x14ac:dyDescent="0.25">
      <c r="A21" t="s">
        <v>840</v>
      </c>
      <c r="D21" t="s">
        <v>838</v>
      </c>
      <c r="G21" t="s">
        <v>839</v>
      </c>
    </row>
    <row r="22" spans="1:7" x14ac:dyDescent="0.25">
      <c r="A22" t="s">
        <v>843</v>
      </c>
      <c r="D22" t="s">
        <v>841</v>
      </c>
      <c r="G22" t="s">
        <v>842</v>
      </c>
    </row>
    <row r="23" spans="1:7" x14ac:dyDescent="0.25">
      <c r="A23" t="s">
        <v>846</v>
      </c>
      <c r="D23" t="s">
        <v>844</v>
      </c>
      <c r="G23" t="s">
        <v>845</v>
      </c>
    </row>
    <row r="24" spans="1:7" x14ac:dyDescent="0.25">
      <c r="A24" t="s">
        <v>850</v>
      </c>
      <c r="D24" t="s">
        <v>847</v>
      </c>
      <c r="G24" t="s">
        <v>848</v>
      </c>
    </row>
    <row r="25" spans="1:7" x14ac:dyDescent="0.25">
      <c r="A25" t="s">
        <v>854</v>
      </c>
      <c r="D25" t="s">
        <v>851</v>
      </c>
      <c r="G25" t="s">
        <v>852</v>
      </c>
    </row>
    <row r="26" spans="1:7" x14ac:dyDescent="0.25">
      <c r="A26" t="s">
        <v>858</v>
      </c>
      <c r="D26" t="s">
        <v>855</v>
      </c>
      <c r="G26" t="s">
        <v>856</v>
      </c>
    </row>
    <row r="27" spans="1:7" x14ac:dyDescent="0.25">
      <c r="A27" t="s">
        <v>861</v>
      </c>
      <c r="D27" t="s">
        <v>859</v>
      </c>
      <c r="G27" t="s">
        <v>860</v>
      </c>
    </row>
    <row r="28" spans="1:7" x14ac:dyDescent="0.25">
      <c r="A28" t="s">
        <v>865</v>
      </c>
      <c r="D28" t="s">
        <v>862</v>
      </c>
      <c r="G28" t="s">
        <v>863</v>
      </c>
    </row>
    <row r="29" spans="1:7" x14ac:dyDescent="0.25">
      <c r="A29" t="s">
        <v>868</v>
      </c>
      <c r="D29" t="s">
        <v>866</v>
      </c>
      <c r="G29" t="s">
        <v>582</v>
      </c>
    </row>
    <row r="30" spans="1:7" x14ac:dyDescent="0.25">
      <c r="A30" t="s">
        <v>871</v>
      </c>
      <c r="D30" t="s">
        <v>869</v>
      </c>
      <c r="G30" t="s">
        <v>870</v>
      </c>
    </row>
    <row r="31" spans="1:7" x14ac:dyDescent="0.25">
      <c r="A31" t="s">
        <v>873</v>
      </c>
      <c r="D31" t="s">
        <v>872</v>
      </c>
    </row>
    <row r="32" spans="1:7" x14ac:dyDescent="0.25">
      <c r="A32" t="s">
        <v>876</v>
      </c>
      <c r="D32" t="s">
        <v>874</v>
      </c>
    </row>
    <row r="33" spans="1:4" x14ac:dyDescent="0.25">
      <c r="A33" t="s">
        <v>878</v>
      </c>
      <c r="D33" t="s">
        <v>877</v>
      </c>
    </row>
    <row r="34" spans="1:4" x14ac:dyDescent="0.25">
      <c r="A34" t="s">
        <v>880</v>
      </c>
      <c r="D34" t="s">
        <v>879</v>
      </c>
    </row>
    <row r="35" spans="1:4" x14ac:dyDescent="0.25">
      <c r="A35" t="s">
        <v>882</v>
      </c>
      <c r="D35" t="s">
        <v>881</v>
      </c>
    </row>
    <row r="36" spans="1:4" x14ac:dyDescent="0.25">
      <c r="A36" t="s">
        <v>884</v>
      </c>
      <c r="D36" t="s">
        <v>883</v>
      </c>
    </row>
    <row r="37" spans="1:4" x14ac:dyDescent="0.25">
      <c r="A37" t="s">
        <v>887</v>
      </c>
      <c r="D37" t="s">
        <v>885</v>
      </c>
    </row>
    <row r="38" spans="1:4" x14ac:dyDescent="0.25">
      <c r="A38" t="s">
        <v>889</v>
      </c>
      <c r="D38" t="s">
        <v>888</v>
      </c>
    </row>
    <row r="39" spans="1:4" x14ac:dyDescent="0.25">
      <c r="A39" t="s">
        <v>891</v>
      </c>
      <c r="D39" t="s">
        <v>890</v>
      </c>
    </row>
    <row r="40" spans="1:4" x14ac:dyDescent="0.25">
      <c r="A40" t="s">
        <v>894</v>
      </c>
      <c r="D40" t="s">
        <v>892</v>
      </c>
    </row>
    <row r="41" spans="1:4" x14ac:dyDescent="0.25">
      <c r="A41" t="s">
        <v>896</v>
      </c>
      <c r="D41" t="s">
        <v>895</v>
      </c>
    </row>
    <row r="42" spans="1:4" x14ac:dyDescent="0.25">
      <c r="A42" t="s">
        <v>898</v>
      </c>
      <c r="D42" t="s">
        <v>897</v>
      </c>
    </row>
    <row r="43" spans="1:4" x14ac:dyDescent="0.25">
      <c r="A43" t="s">
        <v>900</v>
      </c>
      <c r="D43" t="s">
        <v>899</v>
      </c>
    </row>
    <row r="44" spans="1:4" x14ac:dyDescent="0.25">
      <c r="A44" t="s">
        <v>903</v>
      </c>
      <c r="D44" t="s">
        <v>901</v>
      </c>
    </row>
    <row r="45" spans="1:4" x14ac:dyDescent="0.25">
      <c r="A45" t="s">
        <v>905</v>
      </c>
      <c r="D45" t="s">
        <v>904</v>
      </c>
    </row>
    <row r="46" spans="1:4" x14ac:dyDescent="0.25">
      <c r="A46" t="s">
        <v>907</v>
      </c>
      <c r="D46" t="s">
        <v>906</v>
      </c>
    </row>
    <row r="47" spans="1:4" x14ac:dyDescent="0.25">
      <c r="A47" t="s">
        <v>909</v>
      </c>
      <c r="D47" t="s">
        <v>908</v>
      </c>
    </row>
    <row r="48" spans="1:4" x14ac:dyDescent="0.25">
      <c r="A48" t="s">
        <v>911</v>
      </c>
      <c r="D48" t="s">
        <v>910</v>
      </c>
    </row>
    <row r="49" spans="1:4" x14ac:dyDescent="0.25">
      <c r="A49" t="s">
        <v>913</v>
      </c>
      <c r="D49" t="s">
        <v>912</v>
      </c>
    </row>
    <row r="50" spans="1:4" x14ac:dyDescent="0.25">
      <c r="A50" t="s">
        <v>915</v>
      </c>
      <c r="D50" t="s">
        <v>914</v>
      </c>
    </row>
    <row r="51" spans="1:4" x14ac:dyDescent="0.25">
      <c r="A51" t="s">
        <v>917</v>
      </c>
      <c r="D51" t="s">
        <v>916</v>
      </c>
    </row>
    <row r="52" spans="1:4" x14ac:dyDescent="0.25">
      <c r="A52" t="s">
        <v>919</v>
      </c>
      <c r="D52" t="s">
        <v>918</v>
      </c>
    </row>
    <row r="53" spans="1:4" x14ac:dyDescent="0.25">
      <c r="A53" t="s">
        <v>922</v>
      </c>
      <c r="D53" t="s">
        <v>920</v>
      </c>
    </row>
    <row r="54" spans="1:4" x14ac:dyDescent="0.25">
      <c r="A54" t="s">
        <v>924</v>
      </c>
      <c r="D54" t="s">
        <v>923</v>
      </c>
    </row>
    <row r="55" spans="1:4" x14ac:dyDescent="0.25">
      <c r="A55" t="s">
        <v>926</v>
      </c>
      <c r="D55" t="s">
        <v>925</v>
      </c>
    </row>
    <row r="56" spans="1:4" x14ac:dyDescent="0.25">
      <c r="A56" t="s">
        <v>928</v>
      </c>
      <c r="D56" t="s">
        <v>927</v>
      </c>
    </row>
    <row r="57" spans="1:4" x14ac:dyDescent="0.25">
      <c r="A57" t="s">
        <v>930</v>
      </c>
      <c r="D57" t="s">
        <v>929</v>
      </c>
    </row>
    <row r="58" spans="1:4" x14ac:dyDescent="0.25">
      <c r="A58" t="s">
        <v>932</v>
      </c>
      <c r="D58" t="s">
        <v>931</v>
      </c>
    </row>
    <row r="59" spans="1:4" x14ac:dyDescent="0.25">
      <c r="A59" t="s">
        <v>934</v>
      </c>
      <c r="D59" t="s">
        <v>933</v>
      </c>
    </row>
    <row r="60" spans="1:4" x14ac:dyDescent="0.25">
      <c r="A60" t="s">
        <v>936</v>
      </c>
      <c r="D60" t="s">
        <v>935</v>
      </c>
    </row>
    <row r="61" spans="1:4" x14ac:dyDescent="0.25">
      <c r="A61" t="s">
        <v>940</v>
      </c>
      <c r="D61" t="s">
        <v>937</v>
      </c>
    </row>
    <row r="62" spans="1:4" x14ac:dyDescent="0.25">
      <c r="A62" t="s">
        <v>944</v>
      </c>
      <c r="D62" t="s">
        <v>941</v>
      </c>
    </row>
    <row r="63" spans="1:4" x14ac:dyDescent="0.25">
      <c r="A63" t="s">
        <v>947</v>
      </c>
      <c r="D63" t="s">
        <v>945</v>
      </c>
    </row>
    <row r="64" spans="1:4" x14ac:dyDescent="0.25">
      <c r="A64" t="s">
        <v>949</v>
      </c>
      <c r="D64" t="s">
        <v>948</v>
      </c>
    </row>
    <row r="65" spans="1:1" x14ac:dyDescent="0.25">
      <c r="A65" t="s">
        <v>950</v>
      </c>
    </row>
    <row r="66" spans="1:1" x14ac:dyDescent="0.25">
      <c r="A66" t="s">
        <v>951</v>
      </c>
    </row>
    <row r="67" spans="1:1" x14ac:dyDescent="0.25">
      <c r="A67" t="s">
        <v>952</v>
      </c>
    </row>
    <row r="68" spans="1:1" x14ac:dyDescent="0.25">
      <c r="A68" t="s">
        <v>953</v>
      </c>
    </row>
    <row r="69" spans="1:1" x14ac:dyDescent="0.25">
      <c r="A69" t="s">
        <v>954</v>
      </c>
    </row>
    <row r="70" spans="1:1" x14ac:dyDescent="0.25">
      <c r="A70" t="s">
        <v>955</v>
      </c>
    </row>
    <row r="71" spans="1:1" x14ac:dyDescent="0.25">
      <c r="A71" t="s">
        <v>956</v>
      </c>
    </row>
    <row r="72" spans="1:1" x14ac:dyDescent="0.25">
      <c r="A72" t="s">
        <v>957</v>
      </c>
    </row>
    <row r="73" spans="1:1" x14ac:dyDescent="0.25">
      <c r="A73" t="s">
        <v>958</v>
      </c>
    </row>
    <row r="74" spans="1:1" x14ac:dyDescent="0.25">
      <c r="A74" t="s">
        <v>959</v>
      </c>
    </row>
    <row r="75" spans="1:1" x14ac:dyDescent="0.25">
      <c r="A75" t="s">
        <v>960</v>
      </c>
    </row>
    <row r="76" spans="1:1" x14ac:dyDescent="0.25">
      <c r="A76" t="s">
        <v>961</v>
      </c>
    </row>
    <row r="77" spans="1:1" x14ac:dyDescent="0.25">
      <c r="A77" t="s">
        <v>962</v>
      </c>
    </row>
    <row r="78" spans="1:1" x14ac:dyDescent="0.25">
      <c r="A78" t="s">
        <v>963</v>
      </c>
    </row>
    <row r="79" spans="1:1" x14ac:dyDescent="0.25">
      <c r="A79" t="s">
        <v>964</v>
      </c>
    </row>
    <row r="80" spans="1:1" x14ac:dyDescent="0.25">
      <c r="A80" t="s">
        <v>965</v>
      </c>
    </row>
    <row r="81" spans="1:1" x14ac:dyDescent="0.25">
      <c r="A81" t="s">
        <v>966</v>
      </c>
    </row>
    <row r="82" spans="1:1" x14ac:dyDescent="0.25">
      <c r="A82" t="s">
        <v>967</v>
      </c>
    </row>
    <row r="83" spans="1:1" x14ac:dyDescent="0.25">
      <c r="A83" t="s">
        <v>968</v>
      </c>
    </row>
    <row r="84" spans="1:1" x14ac:dyDescent="0.25">
      <c r="A84" t="s">
        <v>969</v>
      </c>
    </row>
    <row r="85" spans="1:1" x14ac:dyDescent="0.25">
      <c r="A85" t="s">
        <v>970</v>
      </c>
    </row>
    <row r="86" spans="1:1" x14ac:dyDescent="0.25">
      <c r="A86" t="s">
        <v>971</v>
      </c>
    </row>
    <row r="87" spans="1:1" x14ac:dyDescent="0.25">
      <c r="A87" t="s">
        <v>972</v>
      </c>
    </row>
    <row r="88" spans="1:1" x14ac:dyDescent="0.25">
      <c r="A88" t="s">
        <v>973</v>
      </c>
    </row>
    <row r="89" spans="1:1" x14ac:dyDescent="0.25">
      <c r="A89" t="s">
        <v>974</v>
      </c>
    </row>
    <row r="90" spans="1:1" x14ac:dyDescent="0.25">
      <c r="A90" t="s">
        <v>975</v>
      </c>
    </row>
    <row r="91" spans="1:1" x14ac:dyDescent="0.25">
      <c r="A91" t="s">
        <v>976</v>
      </c>
    </row>
    <row r="92" spans="1:1" x14ac:dyDescent="0.25">
      <c r="A92" t="s">
        <v>977</v>
      </c>
    </row>
    <row r="93" spans="1:1" x14ac:dyDescent="0.25">
      <c r="A93" t="s">
        <v>978</v>
      </c>
    </row>
    <row r="94" spans="1:1" x14ac:dyDescent="0.25">
      <c r="A94" t="s">
        <v>979</v>
      </c>
    </row>
    <row r="95" spans="1:1" x14ac:dyDescent="0.25">
      <c r="A95" t="s">
        <v>980</v>
      </c>
    </row>
    <row r="96" spans="1:1" x14ac:dyDescent="0.25">
      <c r="A96" t="s">
        <v>981</v>
      </c>
    </row>
    <row r="97" spans="1:1" x14ac:dyDescent="0.25">
      <c r="A97" t="s">
        <v>982</v>
      </c>
    </row>
    <row r="98" spans="1:1" x14ac:dyDescent="0.25">
      <c r="A98" t="s">
        <v>983</v>
      </c>
    </row>
    <row r="99" spans="1:1" x14ac:dyDescent="0.25">
      <c r="A99" t="s">
        <v>984</v>
      </c>
    </row>
    <row r="100" spans="1:1" x14ac:dyDescent="0.25">
      <c r="A100" t="s">
        <v>985</v>
      </c>
    </row>
    <row r="101" spans="1:1" x14ac:dyDescent="0.25">
      <c r="A101" t="s">
        <v>986</v>
      </c>
    </row>
    <row r="102" spans="1:1" x14ac:dyDescent="0.25">
      <c r="A102" t="s">
        <v>987</v>
      </c>
    </row>
    <row r="103" spans="1:1" x14ac:dyDescent="0.25">
      <c r="A103" t="s">
        <v>988</v>
      </c>
    </row>
    <row r="104" spans="1:1" x14ac:dyDescent="0.25">
      <c r="A104" t="s">
        <v>989</v>
      </c>
    </row>
    <row r="105" spans="1:1" x14ac:dyDescent="0.25">
      <c r="A105" t="s">
        <v>990</v>
      </c>
    </row>
    <row r="106" spans="1:1" x14ac:dyDescent="0.25">
      <c r="A106" t="s">
        <v>991</v>
      </c>
    </row>
    <row r="107" spans="1:1" x14ac:dyDescent="0.25">
      <c r="A107" t="s">
        <v>992</v>
      </c>
    </row>
    <row r="108" spans="1:1" x14ac:dyDescent="0.25">
      <c r="A108" t="s">
        <v>993</v>
      </c>
    </row>
    <row r="109" spans="1:1" x14ac:dyDescent="0.25">
      <c r="A109" t="s">
        <v>994</v>
      </c>
    </row>
    <row r="110" spans="1:1" x14ac:dyDescent="0.25">
      <c r="A110" t="s">
        <v>995</v>
      </c>
    </row>
    <row r="111" spans="1:1" x14ac:dyDescent="0.25">
      <c r="A111" t="s">
        <v>996</v>
      </c>
    </row>
    <row r="112" spans="1:1" x14ac:dyDescent="0.25">
      <c r="A112" t="s">
        <v>997</v>
      </c>
    </row>
    <row r="113" spans="1:1" x14ac:dyDescent="0.25">
      <c r="A113" t="s">
        <v>998</v>
      </c>
    </row>
    <row r="114" spans="1:1" x14ac:dyDescent="0.25">
      <c r="A114" t="s">
        <v>999</v>
      </c>
    </row>
    <row r="115" spans="1:1" x14ac:dyDescent="0.25">
      <c r="A115" t="s">
        <v>1000</v>
      </c>
    </row>
    <row r="116" spans="1:1" x14ac:dyDescent="0.25">
      <c r="A116" t="s">
        <v>1001</v>
      </c>
    </row>
    <row r="117" spans="1:1" x14ac:dyDescent="0.25">
      <c r="A117" t="s">
        <v>1002</v>
      </c>
    </row>
    <row r="118" spans="1:1" x14ac:dyDescent="0.25">
      <c r="A118" t="s">
        <v>1003</v>
      </c>
    </row>
    <row r="119" spans="1:1" x14ac:dyDescent="0.25">
      <c r="A119" t="s">
        <v>1004</v>
      </c>
    </row>
    <row r="120" spans="1:1" x14ac:dyDescent="0.25">
      <c r="A120" t="s">
        <v>1005</v>
      </c>
    </row>
    <row r="121" spans="1:1" x14ac:dyDescent="0.25">
      <c r="A121" t="s">
        <v>1006</v>
      </c>
    </row>
    <row r="122" spans="1:1" x14ac:dyDescent="0.25">
      <c r="A122" t="s">
        <v>1008</v>
      </c>
    </row>
    <row r="123" spans="1:1" x14ac:dyDescent="0.25">
      <c r="A123" t="s">
        <v>1009</v>
      </c>
    </row>
    <row r="124" spans="1:1" x14ac:dyDescent="0.25">
      <c r="A124" t="s">
        <v>1010</v>
      </c>
    </row>
    <row r="125" spans="1:1" x14ac:dyDescent="0.25">
      <c r="A125" t="s">
        <v>1011</v>
      </c>
    </row>
    <row r="126" spans="1:1" x14ac:dyDescent="0.25">
      <c r="A126" t="s">
        <v>1012</v>
      </c>
    </row>
    <row r="127" spans="1:1" x14ac:dyDescent="0.25">
      <c r="A127" t="s">
        <v>1013</v>
      </c>
    </row>
    <row r="128" spans="1:1" x14ac:dyDescent="0.25">
      <c r="A128" t="s">
        <v>1014</v>
      </c>
    </row>
    <row r="129" spans="1:1" x14ac:dyDescent="0.25">
      <c r="A129" t="s">
        <v>1015</v>
      </c>
    </row>
    <row r="130" spans="1:1" x14ac:dyDescent="0.25">
      <c r="A130" t="s">
        <v>1017</v>
      </c>
    </row>
    <row r="131" spans="1:1" x14ac:dyDescent="0.25">
      <c r="A131" t="s">
        <v>1018</v>
      </c>
    </row>
    <row r="132" spans="1:1" x14ac:dyDescent="0.25">
      <c r="A132" t="s">
        <v>1019</v>
      </c>
    </row>
    <row r="133" spans="1:1" x14ac:dyDescent="0.25">
      <c r="A133" t="s">
        <v>1020</v>
      </c>
    </row>
    <row r="134" spans="1:1" x14ac:dyDescent="0.25">
      <c r="A134" t="s">
        <v>1021</v>
      </c>
    </row>
    <row r="135" spans="1:1" x14ac:dyDescent="0.25">
      <c r="A135" t="s">
        <v>1022</v>
      </c>
    </row>
    <row r="136" spans="1:1" x14ac:dyDescent="0.25">
      <c r="A136" t="s">
        <v>1023</v>
      </c>
    </row>
    <row r="137" spans="1:1" x14ac:dyDescent="0.25">
      <c r="A137" t="s">
        <v>1024</v>
      </c>
    </row>
    <row r="138" spans="1:1" x14ac:dyDescent="0.25">
      <c r="A138" t="s">
        <v>1026</v>
      </c>
    </row>
    <row r="139" spans="1:1" x14ac:dyDescent="0.25">
      <c r="A139" t="s">
        <v>1028</v>
      </c>
    </row>
    <row r="140" spans="1:1" x14ac:dyDescent="0.25">
      <c r="A140" t="s">
        <v>1029</v>
      </c>
    </row>
    <row r="141" spans="1:1" x14ac:dyDescent="0.25">
      <c r="A141" t="s">
        <v>1032</v>
      </c>
    </row>
    <row r="142" spans="1:1" x14ac:dyDescent="0.25">
      <c r="A142" t="s">
        <v>1033</v>
      </c>
    </row>
    <row r="143" spans="1:1" x14ac:dyDescent="0.25">
      <c r="A143" t="s">
        <v>1034</v>
      </c>
    </row>
    <row r="144" spans="1:1" x14ac:dyDescent="0.25">
      <c r="A144" t="s">
        <v>1035</v>
      </c>
    </row>
    <row r="145" spans="1:1" x14ac:dyDescent="0.25">
      <c r="A145" t="s">
        <v>1036</v>
      </c>
    </row>
    <row r="146" spans="1:1" x14ac:dyDescent="0.25">
      <c r="A146" t="s">
        <v>1037</v>
      </c>
    </row>
    <row r="147" spans="1:1" x14ac:dyDescent="0.25">
      <c r="A147" t="s">
        <v>1038</v>
      </c>
    </row>
    <row r="148" spans="1:1" x14ac:dyDescent="0.25">
      <c r="A148" t="s">
        <v>1039</v>
      </c>
    </row>
    <row r="149" spans="1:1" x14ac:dyDescent="0.25">
      <c r="A149" t="s">
        <v>1041</v>
      </c>
    </row>
    <row r="150" spans="1:1" x14ac:dyDescent="0.25">
      <c r="A150" t="s">
        <v>1042</v>
      </c>
    </row>
    <row r="151" spans="1:1" x14ac:dyDescent="0.25">
      <c r="A151" t="s">
        <v>1043</v>
      </c>
    </row>
    <row r="152" spans="1:1" x14ac:dyDescent="0.25">
      <c r="A152" t="s">
        <v>1044</v>
      </c>
    </row>
    <row r="153" spans="1:1" x14ac:dyDescent="0.25">
      <c r="A153" t="s">
        <v>1045</v>
      </c>
    </row>
    <row r="154" spans="1:1" x14ac:dyDescent="0.25">
      <c r="A154" t="s">
        <v>1046</v>
      </c>
    </row>
    <row r="155" spans="1:1" x14ac:dyDescent="0.25">
      <c r="A155" t="s">
        <v>1047</v>
      </c>
    </row>
    <row r="156" spans="1:1" x14ac:dyDescent="0.25">
      <c r="A156" t="s">
        <v>1048</v>
      </c>
    </row>
    <row r="157" spans="1:1" x14ac:dyDescent="0.25">
      <c r="A157" t="s">
        <v>1049</v>
      </c>
    </row>
    <row r="158" spans="1:1" x14ac:dyDescent="0.25">
      <c r="A158" t="s">
        <v>1051</v>
      </c>
    </row>
    <row r="159" spans="1:1" x14ac:dyDescent="0.25">
      <c r="A159" t="s">
        <v>1054</v>
      </c>
    </row>
    <row r="160" spans="1:1" x14ac:dyDescent="0.25">
      <c r="A160" t="s">
        <v>1055</v>
      </c>
    </row>
    <row r="161" spans="1:1" x14ac:dyDescent="0.25">
      <c r="A161" t="s">
        <v>1056</v>
      </c>
    </row>
    <row r="162" spans="1:1" x14ac:dyDescent="0.25">
      <c r="A162" t="s">
        <v>1057</v>
      </c>
    </row>
    <row r="163" spans="1:1" x14ac:dyDescent="0.25">
      <c r="A163" t="s">
        <v>1058</v>
      </c>
    </row>
    <row r="164" spans="1:1" x14ac:dyDescent="0.25">
      <c r="A164" t="s">
        <v>1059</v>
      </c>
    </row>
    <row r="165" spans="1:1" x14ac:dyDescent="0.25">
      <c r="A165" t="s">
        <v>1060</v>
      </c>
    </row>
    <row r="166" spans="1:1" x14ac:dyDescent="0.25">
      <c r="A166" t="s">
        <v>1061</v>
      </c>
    </row>
    <row r="167" spans="1:1" x14ac:dyDescent="0.25">
      <c r="A167" t="s">
        <v>1062</v>
      </c>
    </row>
    <row r="168" spans="1:1" x14ac:dyDescent="0.25">
      <c r="A168" t="s">
        <v>1063</v>
      </c>
    </row>
    <row r="169" spans="1:1" x14ac:dyDescent="0.25">
      <c r="A169" t="s">
        <v>1064</v>
      </c>
    </row>
    <row r="170" spans="1:1" x14ac:dyDescent="0.25">
      <c r="A170" t="s">
        <v>1065</v>
      </c>
    </row>
    <row r="171" spans="1:1" x14ac:dyDescent="0.25">
      <c r="A171" t="s">
        <v>1066</v>
      </c>
    </row>
    <row r="172" spans="1:1" x14ac:dyDescent="0.25">
      <c r="A172" t="s">
        <v>1067</v>
      </c>
    </row>
    <row r="173" spans="1:1" x14ac:dyDescent="0.25">
      <c r="A173" t="s">
        <v>1068</v>
      </c>
    </row>
    <row r="174" spans="1:1" x14ac:dyDescent="0.25">
      <c r="A174" t="s">
        <v>1069</v>
      </c>
    </row>
    <row r="175" spans="1:1" x14ac:dyDescent="0.25">
      <c r="A175" t="s">
        <v>1072</v>
      </c>
    </row>
    <row r="176" spans="1:1" x14ac:dyDescent="0.25">
      <c r="A176" t="s">
        <v>1073</v>
      </c>
    </row>
    <row r="177" spans="1:1" x14ac:dyDescent="0.25">
      <c r="A177" t="s">
        <v>1074</v>
      </c>
    </row>
    <row r="178" spans="1:1" x14ac:dyDescent="0.25">
      <c r="A178" t="s">
        <v>1075</v>
      </c>
    </row>
    <row r="179" spans="1:1" x14ac:dyDescent="0.25">
      <c r="A179" t="s">
        <v>1077</v>
      </c>
    </row>
    <row r="180" spans="1:1" x14ac:dyDescent="0.25">
      <c r="A180" t="s">
        <v>1078</v>
      </c>
    </row>
    <row r="181" spans="1:1" x14ac:dyDescent="0.25">
      <c r="A181" t="s">
        <v>1079</v>
      </c>
    </row>
    <row r="182" spans="1:1" x14ac:dyDescent="0.25">
      <c r="A182" t="s">
        <v>1080</v>
      </c>
    </row>
    <row r="183" spans="1:1" x14ac:dyDescent="0.25">
      <c r="A183" t="s">
        <v>1081</v>
      </c>
    </row>
    <row r="184" spans="1:1" x14ac:dyDescent="0.25">
      <c r="A184" t="s">
        <v>1082</v>
      </c>
    </row>
    <row r="185" spans="1:1" x14ac:dyDescent="0.25">
      <c r="A185" t="s">
        <v>1083</v>
      </c>
    </row>
    <row r="186" spans="1:1" x14ac:dyDescent="0.25">
      <c r="A186" t="s">
        <v>1084</v>
      </c>
    </row>
    <row r="187" spans="1:1" x14ac:dyDescent="0.25">
      <c r="A187" t="s">
        <v>1085</v>
      </c>
    </row>
    <row r="188" spans="1:1" x14ac:dyDescent="0.25">
      <c r="A188" t="s">
        <v>1086</v>
      </c>
    </row>
    <row r="189" spans="1:1" x14ac:dyDescent="0.25">
      <c r="A189" t="s">
        <v>1087</v>
      </c>
    </row>
    <row r="190" spans="1:1" x14ac:dyDescent="0.25">
      <c r="A190" t="s">
        <v>1088</v>
      </c>
    </row>
    <row r="191" spans="1:1" x14ac:dyDescent="0.25">
      <c r="A191" t="s">
        <v>1089</v>
      </c>
    </row>
    <row r="192" spans="1:1" x14ac:dyDescent="0.25">
      <c r="A192" t="s">
        <v>1090</v>
      </c>
    </row>
    <row r="193" spans="1:1" x14ac:dyDescent="0.25">
      <c r="A193" t="s">
        <v>1091</v>
      </c>
    </row>
  </sheetData>
  <sheetProtection algorithmName="SHA-512" hashValue="xPrjpT4RXs70ywQc6ypCEzQBi7NoSrTecSDRy45U/Jxy8imXqOmmFFhmhz5NPBtuDGEOVKBGB5OFyByHBDy+gQ==" saltValue="L0HZqTFgXFPBwI+9ttJPVA==" spinCount="100000" sheet="1" objects="1" scenarios="1"/>
  <autoFilter ref="A1:B228" xr:uid="{8DE4D186-C95D-4237-BB94-1C453668D0D3}">
    <sortState xmlns:xlrd2="http://schemas.microsoft.com/office/spreadsheetml/2017/richdata2" ref="A2:B228">
      <sortCondition ref="A1:A228"/>
    </sortState>
  </autoFilter>
  <sortState xmlns:xlrd2="http://schemas.microsoft.com/office/spreadsheetml/2017/richdata2" ref="G2:G33">
    <sortCondition ref="G2:G33"/>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35cc3c7-3e68-42bc-9853-419e53d4d83d">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BB58021AD84B04D837DBF80D0D846CC" ma:contentTypeVersion="12" ma:contentTypeDescription="Create a new document." ma:contentTypeScope="" ma:versionID="dfd4544d5ec4747d07874236c99fa51b">
  <xsd:schema xmlns:xsd="http://www.w3.org/2001/XMLSchema" xmlns:xs="http://www.w3.org/2001/XMLSchema" xmlns:p="http://schemas.microsoft.com/office/2006/metadata/properties" xmlns:ns2="b35cc3c7-3e68-42bc-9853-419e53d4d83d" xmlns:ns3="e532c156-e663-47fb-abc0-8b26e006395e" targetNamespace="http://schemas.microsoft.com/office/2006/metadata/properties" ma:root="true" ma:fieldsID="eb60cd375482204a32be63b84ee4b3fc" ns2:_="" ns3:_="">
    <xsd:import namespace="b35cc3c7-3e68-42bc-9853-419e53d4d83d"/>
    <xsd:import namespace="e532c156-e663-47fb-abc0-8b26e006395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lcf76f155ced4ddcb4097134ff3c332f"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5cc3c7-3e68-42bc-9853-419e53d4d83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9442b69-51a0-4a28-a9ae-dbd1c34a565d"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532c156-e663-47fb-abc0-8b26e006395e"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D038CD6-01EE-4FF5-8F3E-2978589629F9}">
  <ds:schemaRefs>
    <ds:schemaRef ds:uri="http://schemas.microsoft.com/sharepoint/v3/contenttype/forms"/>
  </ds:schemaRefs>
</ds:datastoreItem>
</file>

<file path=customXml/itemProps2.xml><?xml version="1.0" encoding="utf-8"?>
<ds:datastoreItem xmlns:ds="http://schemas.openxmlformats.org/officeDocument/2006/customXml" ds:itemID="{4C10D8CC-3A8F-48FE-8710-C3E02D8CC68E}">
  <ds:schemaRefs>
    <ds:schemaRef ds:uri="http://schemas.microsoft.com/office/2006/metadata/properties"/>
    <ds:schemaRef ds:uri="http://schemas.microsoft.com/office/infopath/2007/PartnerControls"/>
    <ds:schemaRef ds:uri="ec6a260e-3135-4579-acd7-3f68a0745711"/>
    <ds:schemaRef ds:uri="af3fa185-953a-4deb-b834-b1c372f9cb2c"/>
    <ds:schemaRef ds:uri="b35cc3c7-3e68-42bc-9853-419e53d4d83d"/>
  </ds:schemaRefs>
</ds:datastoreItem>
</file>

<file path=customXml/itemProps3.xml><?xml version="1.0" encoding="utf-8"?>
<ds:datastoreItem xmlns:ds="http://schemas.openxmlformats.org/officeDocument/2006/customXml" ds:itemID="{74208F2A-CB53-460B-920F-AD33425855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35cc3c7-3e68-42bc-9853-419e53d4d83d"/>
    <ds:schemaRef ds:uri="e532c156-e663-47fb-abc0-8b26e00639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Summary</vt:lpstr>
      <vt:lpstr>Pricing Details</vt:lpstr>
      <vt:lpstr>Formulas</vt:lpstr>
      <vt:lpstr>Resource List</vt:lpstr>
      <vt:lpstr>Timeline 36 Weeks</vt:lpstr>
      <vt:lpstr>Deliverables </vt:lpstr>
      <vt:lpstr>Complexity Considerations</vt:lpstr>
      <vt:lpstr>INSTRUCTIONS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Havagi Sidram</dc:creator>
  <cp:keywords/>
  <dc:description/>
  <cp:lastModifiedBy>Catherine Lair</cp:lastModifiedBy>
  <cp:revision/>
  <dcterms:created xsi:type="dcterms:W3CDTF">2022-08-31T15:59:57Z</dcterms:created>
  <dcterms:modified xsi:type="dcterms:W3CDTF">2026-01-22T20:04:56Z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0x010100BBB58021AD84B04D837DBF80D0D846CC</vt:lpwstr>
  </property>
  <property fmtid="{D5CDD505-2E9C-101B-9397-08002B2CF9AE}" pid="5" name="MediaServiceImageTags">
    <vt:lpwstr/>
  </property>
</Properties>
</file>